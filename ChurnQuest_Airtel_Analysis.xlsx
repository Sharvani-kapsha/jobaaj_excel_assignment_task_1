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pr\Downloads\"/>
    </mc:Choice>
  </mc:AlternateContent>
  <xr:revisionPtr revIDLastSave="0" documentId="8_{F35C2B3D-7921-4E19-B312-3998386B484F}" xr6:coauthVersionLast="47" xr6:coauthVersionMax="47" xr10:uidLastSave="{00000000-0000-0000-0000-000000000000}"/>
  <bookViews>
    <workbookView xWindow="7896" yWindow="0" windowWidth="15240" windowHeight="12336" firstSheet="4" activeTab="6" xr2:uid="{3EF99E4B-1EBE-4336-A304-CAF452114BA8}"/>
  </bookViews>
  <sheets>
    <sheet name="Raw_Data" sheetId="1" r:id="rId1"/>
    <sheet name="Data_Dictionary" sheetId="2" r:id="rId2"/>
    <sheet name="Data_Cleaning" sheetId="3" r:id="rId3"/>
    <sheet name="Basic_Analysis" sheetId="4" r:id="rId4"/>
    <sheet name="Medium Analysis" sheetId="5" r:id="rId5"/>
    <sheet name="Advanced_Analysis" sheetId="6" r:id="rId6"/>
    <sheet name="Dashboard" sheetId="7" r:id="rId7"/>
  </sheets>
  <calcPr calcId="0"/>
</workbook>
</file>

<file path=xl/calcChain.xml><?xml version="1.0" encoding="utf-8"?>
<calcChain xmlns="http://schemas.openxmlformats.org/spreadsheetml/2006/main">
  <c r="B15" i="7" l="1"/>
  <c r="B16" i="7"/>
  <c r="E9" i="7"/>
  <c r="E10" i="7"/>
  <c r="B9" i="7"/>
  <c r="B10" i="7"/>
  <c r="F5" i="7"/>
  <c r="D5" i="7"/>
  <c r="B5" i="7"/>
  <c r="F3" i="7"/>
  <c r="D3" i="7"/>
  <c r="B3" i="7"/>
  <c r="B45" i="6"/>
  <c r="B44" i="6"/>
  <c r="B43" i="6"/>
  <c r="B42" i="6"/>
  <c r="B21" i="6"/>
  <c r="B20" i="6"/>
  <c r="B34" i="6"/>
  <c r="B33" i="6"/>
  <c r="B25" i="6"/>
  <c r="B23" i="6"/>
  <c r="B22" i="6"/>
  <c r="B7" i="6"/>
  <c r="B6" i="6"/>
  <c r="B5" i="6"/>
  <c r="B4" i="6"/>
  <c r="B85" i="5"/>
  <c r="B84" i="5"/>
  <c r="B83" i="5"/>
  <c r="B82" i="5"/>
  <c r="C70" i="5"/>
  <c r="C69" i="5"/>
  <c r="B69" i="5"/>
  <c r="B70" i="5"/>
  <c r="B62" i="5"/>
  <c r="B61" i="5"/>
  <c r="C59" i="5"/>
  <c r="B59" i="5"/>
  <c r="C58" i="5"/>
  <c r="B58" i="5"/>
  <c r="B51" i="5"/>
  <c r="B50" i="5"/>
  <c r="B49" i="5"/>
  <c r="B48" i="5"/>
  <c r="D49" i="5" a="1"/>
  <c r="D49" i="5" s="1"/>
  <c r="D48" i="5" a="1"/>
  <c r="D48" i="5" s="1"/>
  <c r="D47" i="5" a="1"/>
  <c r="D47" i="5" s="1"/>
  <c r="B41" i="5"/>
  <c r="B40" i="5"/>
  <c r="B39" i="5"/>
  <c r="B38" i="5"/>
  <c r="D40" i="5"/>
  <c r="D39" i="5"/>
  <c r="D38" i="5"/>
  <c r="B31" i="5"/>
  <c r="B30" i="5"/>
  <c r="D30" i="5" a="1"/>
  <c r="D30" i="5" s="1"/>
  <c r="B23" i="5"/>
  <c r="B22" i="5"/>
  <c r="B21" i="5"/>
  <c r="B20" i="5"/>
  <c r="D21" i="5"/>
  <c r="D20" i="5"/>
  <c r="D19" i="5"/>
  <c r="B13" i="5"/>
  <c r="B12" i="5"/>
  <c r="B5" i="5"/>
  <c r="B3" i="5"/>
  <c r="B4" i="5"/>
  <c r="B62" i="4"/>
  <c r="C67" i="4"/>
  <c r="B67" i="4"/>
  <c r="C66" i="4"/>
  <c r="B66" i="4"/>
  <c r="C65" i="4"/>
  <c r="B65" i="4"/>
  <c r="C64" i="4"/>
  <c r="B64" i="4"/>
  <c r="C63" i="4"/>
  <c r="B63" i="4"/>
  <c r="C62" i="4"/>
  <c r="B57" i="4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C53" i="4"/>
  <c r="C52" i="4"/>
  <c r="B53" i="4"/>
  <c r="B52" i="4"/>
  <c r="B47" i="4"/>
  <c r="B46" i="4"/>
  <c r="B41" i="4"/>
  <c r="B40" i="4"/>
  <c r="B35" i="4"/>
  <c r="B34" i="4"/>
  <c r="B28" i="4"/>
  <c r="B29" i="4"/>
  <c r="B17" i="4"/>
  <c r="B23" i="4"/>
  <c r="B22" i="4"/>
  <c r="B16" i="4"/>
  <c r="B11" i="4"/>
  <c r="B10" i="4"/>
  <c r="E3" i="4"/>
  <c r="E4" i="4"/>
  <c r="B6" i="4"/>
  <c r="B5" i="4"/>
  <c r="B4" i="4"/>
  <c r="B3" i="4"/>
  <c r="B2" i="4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B4" i="3"/>
  <c r="B3" i="3"/>
  <c r="B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<sst xmlns="http://schemas.openxmlformats.org/spreadsheetml/2006/main" count="21596" uniqueCount="249">
  <si>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</si>
  <si>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</si>
  <si>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</si>
  <si>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</si>
  <si>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</si>
  <si>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</si>
  <si>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</si>
  <si>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</si>
  <si>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</si>
  <si>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</si>
  <si>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</si>
  <si>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</si>
  <si>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</si>
  <si>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</si>
  <si>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</si>
  <si>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</si>
  <si>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</si>
  <si>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</si>
  <si>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</si>
  <si>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</si>
  <si>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</si>
  <si>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</si>
  <si>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</si>
  <si>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</si>
  <si>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</si>
  <si>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</si>
  <si>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</si>
  <si>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</si>
  <si>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</si>
  <si>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</si>
  <si>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</si>
  <si>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</si>
  <si>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</si>
  <si>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</si>
  <si>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</si>
  <si>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</si>
  <si>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</si>
  <si>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</si>
  <si>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</si>
  <si>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</si>
  <si>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</si>
  <si>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</si>
  <si>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</si>
  <si>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</si>
  <si>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</si>
  <si>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</si>
  <si>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</si>
  <si>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</si>
  <si>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</si>
  <si>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</si>
  <si>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</si>
  <si>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</si>
  <si>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</si>
  <si>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</si>
  <si>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</si>
  <si>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</si>
  <si>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</si>
  <si>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</si>
  <si>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</si>
  <si>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</si>
  <si>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</si>
  <si>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</si>
  <si>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</si>
  <si>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</si>
  <si>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</si>
  <si>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</si>
  <si>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</si>
  <si>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</si>
  <si>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</si>
  <si>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</si>
  <si>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</si>
  <si>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</si>
  <si>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</si>
  <si>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</si>
  <si>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</si>
  <si>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</si>
  <si>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Column</t>
  </si>
  <si>
    <t>Description</t>
  </si>
  <si>
    <t>Type</t>
  </si>
  <si>
    <t>US state of customer</t>
  </si>
  <si>
    <t>Categorical</t>
  </si>
  <si>
    <t>Months with provider</t>
  </si>
  <si>
    <t>Numerical</t>
  </si>
  <si>
    <t>Customer area code</t>
  </si>
  <si>
    <t>International plan</t>
  </si>
  <si>
    <t>Yes/No</t>
  </si>
  <si>
    <t>Voicemail plan</t>
  </si>
  <si>
    <t>Number of voicemail messages</t>
  </si>
  <si>
    <t>Day call minutes</t>
  </si>
  <si>
    <t>Number of day calls</t>
  </si>
  <si>
    <t>Day call charges</t>
  </si>
  <si>
    <t>Evening call minutes</t>
  </si>
  <si>
    <t>Evening calls</t>
  </si>
  <si>
    <t>Evening charges</t>
  </si>
  <si>
    <t>Night call minutes</t>
  </si>
  <si>
    <t>Night calls</t>
  </si>
  <si>
    <t>Night charges</t>
  </si>
  <si>
    <t>International minutes</t>
  </si>
  <si>
    <t>International calls</t>
  </si>
  <si>
    <t>International charges</t>
  </si>
  <si>
    <t>Customer service calls</t>
  </si>
  <si>
    <t>Customer churn</t>
  </si>
  <si>
    <t>Target</t>
  </si>
  <si>
    <t>Check</t>
  </si>
  <si>
    <t>Result</t>
  </si>
  <si>
    <t>total Customers</t>
  </si>
  <si>
    <t>Churned Customers</t>
  </si>
  <si>
    <t>Non-Churned Customers</t>
  </si>
  <si>
    <t>Missing Values</t>
  </si>
  <si>
    <t>Metric</t>
  </si>
  <si>
    <t>Total Customers</t>
  </si>
  <si>
    <t>Churned</t>
  </si>
  <si>
    <t>Non-Churned</t>
  </si>
  <si>
    <t>Churn Rate</t>
  </si>
  <si>
    <t>Retention Rate</t>
  </si>
  <si>
    <t>Account Length Analysis</t>
  </si>
  <si>
    <t>Customer Status</t>
  </si>
  <si>
    <t>Average Account Length</t>
  </si>
  <si>
    <t>Interpretation</t>
  </si>
  <si>
    <t>Longer tenure does not reduce churn.</t>
  </si>
  <si>
    <t>Customer Service Calls Analysis</t>
  </si>
  <si>
    <t>Average Service Calls</t>
  </si>
  <si>
    <t>Churned customers contact customer service more often.</t>
  </si>
  <si>
    <t>International Plan Analysis</t>
  </si>
  <si>
    <t>Plan Status</t>
  </si>
  <si>
    <t>Yes</t>
  </si>
  <si>
    <t>No</t>
  </si>
  <si>
    <t>Voice Mail Plan Analysis</t>
  </si>
  <si>
    <t>Voice mail plan customers have lower churn.</t>
  </si>
  <si>
    <t>International plan customers have much higher churn.</t>
  </si>
  <si>
    <t>Day Minutes Analysis</t>
  </si>
  <si>
    <t>Average Day Minutes</t>
  </si>
  <si>
    <t>Churned customers have higher day-time usage.</t>
  </si>
  <si>
    <t>Day Charges Analysis</t>
  </si>
  <si>
    <t>Average Day Charge</t>
  </si>
  <si>
    <t>Churned customers have higher day charges.</t>
  </si>
  <si>
    <t>Evening Charges Analysis</t>
  </si>
  <si>
    <t>Average Evening Charge</t>
  </si>
  <si>
    <t>Churned customers have slightly higher evening charges.</t>
  </si>
  <si>
    <t>Night Charges Analysis</t>
  </si>
  <si>
    <t>Average Night Charge</t>
  </si>
  <si>
    <t>Churned customers have slightly higher night charges.</t>
  </si>
  <si>
    <t>International Usage Analysis</t>
  </si>
  <si>
    <t>Avg Intl Minutes</t>
  </si>
  <si>
    <t>Avg Intl Charge</t>
  </si>
  <si>
    <t>Churned customers have slightly higher international usage and charges.</t>
  </si>
  <si>
    <t>Day Calls Correlation</t>
  </si>
  <si>
    <t>Correlation with Churn</t>
  </si>
  <si>
    <t>Churn_Flag</t>
  </si>
  <si>
    <t>Very weak relationship.</t>
  </si>
  <si>
    <t>Basic Analysis Summary</t>
  </si>
  <si>
    <t>Day Minutes</t>
  </si>
  <si>
    <t>Day Charge</t>
  </si>
  <si>
    <t>Evening Charge</t>
  </si>
  <si>
    <t>Night Charge</t>
  </si>
  <si>
    <t>Intl Minutes</t>
  </si>
  <si>
    <t>Intl Charge</t>
  </si>
  <si>
    <t>Area Code Churn Analysis</t>
  </si>
  <si>
    <t>Area Code</t>
  </si>
  <si>
    <t>Finding</t>
  </si>
  <si>
    <t>Area code 510 has the highest churn rate.</t>
  </si>
  <si>
    <t>Customer Service Call Threshold</t>
  </si>
  <si>
    <t>Call Category</t>
  </si>
  <si>
    <t>0-3 Calls</t>
  </si>
  <si>
    <t>More than 3 Calls</t>
  </si>
  <si>
    <t>Customers with more than 3 service calls have much higher churn.</t>
  </si>
  <si>
    <t>Segment</t>
  </si>
  <si>
    <t>Q1</t>
  </si>
  <si>
    <t>Q2</t>
  </si>
  <si>
    <t>Q3</t>
  </si>
  <si>
    <t>Q4</t>
  </si>
  <si>
    <t>International Plan Charge Analysis</t>
  </si>
  <si>
    <t>Charge Group</t>
  </si>
  <si>
    <t>Low Charge</t>
  </si>
  <si>
    <t>High Charge</t>
  </si>
  <si>
    <t>Median Charge</t>
  </si>
  <si>
    <t>Higher international charges are associated with higher churn.</t>
  </si>
  <si>
    <t>Evening Usage Analysis</t>
  </si>
  <si>
    <t>Usage Segment</t>
  </si>
  <si>
    <t>Low</t>
  </si>
  <si>
    <t>Medium-Low</t>
  </si>
  <si>
    <t>Medium-High</t>
  </si>
  <si>
    <t>High</t>
  </si>
  <si>
    <t>Churn increases as evening usage increases.</t>
  </si>
  <si>
    <t>Voice Mail Usage Analysis</t>
  </si>
  <si>
    <t>Message Segment</t>
  </si>
  <si>
    <t>Voice-mail customers generally show lower churn, with some variation by message volume.</t>
  </si>
  <si>
    <t>Day Minutes &amp; Charges Analysis</t>
  </si>
  <si>
    <t>Correlation: Day Minutes vs Churn</t>
  </si>
  <si>
    <t>Correlation: Day Charge vs Churn</t>
  </si>
  <si>
    <t>Higher day usage and charges are associated with higher churn.</t>
  </si>
  <si>
    <t>International Calls by Plan</t>
  </si>
  <si>
    <t>Average Intl Calls</t>
  </si>
  <si>
    <t>No International Plan</t>
  </si>
  <si>
    <t>International Plan</t>
  </si>
  <si>
    <t>International-plan customers have substantially higher churn.</t>
  </si>
  <si>
    <t>Customer Service Call Reasons</t>
  </si>
  <si>
    <t>Available Data</t>
  </si>
  <si>
    <t>Number of service calls only</t>
  </si>
  <si>
    <t>Call reasons are not available in the dataset.</t>
  </si>
  <si>
    <t>Customer Usage Segmentation</t>
  </si>
  <si>
    <t>Average Value</t>
  </si>
  <si>
    <t>Evening Minutes</t>
  </si>
  <si>
    <t>Night Minutes</t>
  </si>
  <si>
    <t>International Minutes</t>
  </si>
  <si>
    <t>Usage patterns can be used to identify high-usage and low-usage customer segments.</t>
  </si>
  <si>
    <t>Predictive Churn Risk Analysis</t>
  </si>
  <si>
    <t>Risk Indicator</t>
  </si>
  <si>
    <t>Churn Rate / Impact</t>
  </si>
  <si>
    <t>Overall Churn Rate</t>
  </si>
  <si>
    <t>More Than 3 Service Calls</t>
  </si>
  <si>
    <t>High Day Usage</t>
  </si>
  <si>
    <t>Conclusion</t>
  </si>
  <si>
    <t>International plans, frequent service calls and high day usage are key churn-risk indicators.</t>
  </si>
  <si>
    <t>Time Series Analysis</t>
  </si>
  <si>
    <t>Date Variable</t>
  </si>
  <si>
    <t>Not available</t>
  </si>
  <si>
    <t>Time-based trends and seasonality cannot be calculated because the dataset has no date variable.</t>
  </si>
  <si>
    <t>Usage Metric</t>
  </si>
  <si>
    <t>Average</t>
  </si>
  <si>
    <t>High Usage Churn Rate</t>
  </si>
  <si>
    <t>High-usage customers should be prioritized for retention campaigns.</t>
  </si>
  <si>
    <t>Interaction Analysis</t>
  </si>
  <si>
    <t>Customer Group</t>
  </si>
  <si>
    <t>International Plan + High Intl Usage</t>
  </si>
  <si>
    <t>International Plan + Low Intl Usage</t>
  </si>
  <si>
    <t>International-plan customers with higher usage represent an important churn-risk group.</t>
  </si>
  <si>
    <t>Economic Impact of Churn</t>
  </si>
  <si>
    <t>Value</t>
  </si>
  <si>
    <t>Average Monthly Call Charges - Churned</t>
  </si>
  <si>
    <t>Estimated Monthly Charge Exposure</t>
  </si>
  <si>
    <t>Estimated Annual Charge Exposure</t>
  </si>
  <si>
    <t>Important Note</t>
  </si>
  <si>
    <t>This is a charge-based proxy, not actual ARPU or CLV, because customer revenue data is unavailable.</t>
  </si>
  <si>
    <t>ChurnQuest: Airtel Customer Churn Dashboard</t>
  </si>
  <si>
    <t>Avg Service Calls - Churned</t>
  </si>
  <si>
    <t>Avg Service Calls - Non-Churned</t>
  </si>
  <si>
    <t>Status</t>
  </si>
  <si>
    <t>Customers</t>
  </si>
  <si>
    <t>Plan</t>
  </si>
  <si>
    <t>Service Calls</t>
  </si>
  <si>
    <t>0-3</t>
  </si>
  <si>
    <t>&gt;3</t>
  </si>
  <si>
    <t>Key Recommendations</t>
  </si>
  <si>
    <t>1. Prioritize customers with more than 3 customer service calls.</t>
  </si>
  <si>
    <t>2. Review international plan pricing and service quality.</t>
  </si>
  <si>
    <t>3. Monitor high day-time usage customers for churn risk.</t>
  </si>
  <si>
    <t>4. Improve first-contact customer service resolution.</t>
  </si>
  <si>
    <t>5. Use targeted retention offers for high-risk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</si>
</sst>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00"/>
    <numFmt numFmtId="174" formatCode="0.0%"/>
    <numFmt numFmtId="182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right" vertical="center" wrapText="1"/>
    </xf>
    <xf numFmtId="2" fontId="0" fillId="0" borderId="0" xfId="0" applyNumberFormat="1"/>
    <xf numFmtId="0" fontId="16" fillId="0" borderId="0" xfId="0" applyFont="1" applyAlignment="1">
      <alignment wrapText="1"/>
    </xf>
    <xf numFmtId="0" fontId="16" fillId="0" borderId="0" xfId="0" applyFont="1" applyAlignment="1"/>
    <xf numFmtId="0" fontId="0" fillId="0" borderId="0" xfId="0" applyAlignment="1"/>
    <xf numFmtId="0" fontId="16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10" fontId="18" fillId="0" borderId="10" xfId="1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0" fontId="16" fillId="0" borderId="10" xfId="0" applyFont="1" applyBorder="1"/>
    <xf numFmtId="0" fontId="0" fillId="0" borderId="10" xfId="0" applyBorder="1"/>
    <xf numFmtId="10" fontId="0" fillId="0" borderId="10" xfId="1" applyNumberFormat="1" applyFont="1" applyBorder="1"/>
    <xf numFmtId="10" fontId="0" fillId="0" borderId="10" xfId="0" applyNumberFormat="1" applyBorder="1"/>
    <xf numFmtId="2" fontId="0" fillId="0" borderId="10" xfId="0" applyNumberFormat="1" applyBorder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right" vertical="center" wrapText="1"/>
    </xf>
    <xf numFmtId="0" fontId="16" fillId="0" borderId="10" xfId="0" applyFont="1" applyBorder="1" applyAlignment="1">
      <alignment horizontal="center"/>
    </xf>
    <xf numFmtId="9" fontId="0" fillId="0" borderId="10" xfId="1" applyFont="1" applyBorder="1"/>
    <xf numFmtId="0" fontId="0" fillId="0" borderId="10" xfId="0" applyBorder="1" applyAlignment="1">
      <alignment wrapText="1"/>
    </xf>
    <xf numFmtId="182" fontId="0" fillId="0" borderId="10" xfId="0" applyNumberFormat="1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/>
    <xf numFmtId="10" fontId="0" fillId="0" borderId="10" xfId="1" applyNumberFormat="1" applyFont="1" applyBorder="1" applyAlignment="1"/>
    <xf numFmtId="1" fontId="0" fillId="0" borderId="10" xfId="0" applyNumberFormat="1" applyBorder="1"/>
    <xf numFmtId="182" fontId="0" fillId="0" borderId="10" xfId="1" applyNumberFormat="1" applyFont="1" applyBorder="1"/>
    <xf numFmtId="174" fontId="0" fillId="0" borderId="10" xfId="1" applyNumberFormat="1" applyFont="1" applyBorder="1"/>
    <xf numFmtId="2" fontId="0" fillId="0" borderId="10" xfId="1" applyNumberFormat="1" applyFont="1" applyBorder="1"/>
    <xf numFmtId="0" fontId="0" fillId="0" borderId="10" xfId="0" applyFont="1" applyBorder="1"/>
    <xf numFmtId="172" fontId="0" fillId="0" borderId="10" xfId="0" applyNumberFormat="1" applyBorder="1"/>
    <xf numFmtId="10" fontId="0" fillId="0" borderId="10" xfId="0" applyNumberFormat="1" applyBorder="1" applyAlignment="1">
      <alignment horizontal="right" vertical="center" wrapText="1"/>
    </xf>
    <xf numFmtId="0" fontId="0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Chum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Dashboard!$A$9:$A$10</c:f>
              <c:strCache>
                <c:ptCount val="2"/>
                <c:pt idx="0">
                  <c:v>Churned</c:v>
                </c:pt>
                <c:pt idx="1">
                  <c:v>Non-Churned</c:v>
                </c:pt>
              </c:strCache>
            </c:strRef>
          </c:cat>
          <c:val>
            <c:numRef>
              <c:f>Dashboard!$B$9:$B$10</c:f>
              <c:numCache>
                <c:formatCode>General</c:formatCode>
                <c:ptCount val="2"/>
                <c:pt idx="0">
                  <c:v>598</c:v>
                </c:pt>
                <c:pt idx="1">
                  <c:v>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D-44CC-8448-D094FCF1A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International Plan</a:t>
            </a:r>
          </a:p>
        </c:rich>
      </c:tx>
      <c:layout>
        <c:manualLayout>
          <c:xMode val="edge"/>
          <c:yMode val="edge"/>
          <c:x val="0.13713325834270718"/>
          <c:y val="4.1407867494824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Dashboard!$D$9:$D$10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Dashboard!$E$9:$E$10</c:f>
              <c:numCache>
                <c:formatCode>0.00%</c:formatCode>
                <c:ptCount val="2"/>
                <c:pt idx="0">
                  <c:v>0.42171717171717171</c:v>
                </c:pt>
                <c:pt idx="1">
                  <c:v>0.11183186299948106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C-436C-88B9-F7794D289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234512"/>
        <c:axId val="519520368"/>
      </c:barChart>
      <c:catAx>
        <c:axId val="73923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20368"/>
        <c:crosses val="autoZero"/>
        <c:auto val="1"/>
        <c:lblAlgn val="ctr"/>
        <c:lblOffset val="100"/>
        <c:noMultiLvlLbl val="0"/>
      </c:catAx>
      <c:valAx>
        <c:axId val="51952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3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Service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Dashboard!$A$15:$A$16</c:f>
              <c:strCache>
                <c:ptCount val="2"/>
                <c:pt idx="0">
                  <c:v>0-3</c:v>
                </c:pt>
                <c:pt idx="1">
                  <c:v>&gt;3</c:v>
                </c:pt>
              </c:strCache>
            </c:strRef>
          </c:cat>
          <c:val>
            <c:numRef>
              <c:f>Dashboard!$B$15:$B$16</c:f>
              <c:numCache>
                <c:formatCode>0.00%</c:formatCode>
                <c:ptCount val="2"/>
                <c:pt idx="0">
                  <c:v>0.10932311621966795</c:v>
                </c:pt>
                <c:pt idx="1">
                  <c:v>0.5074626865671642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2-4D33-9BA7-47485119C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970448"/>
        <c:axId val="519548208"/>
      </c:barChart>
      <c:catAx>
        <c:axId val="55497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48208"/>
        <c:crosses val="autoZero"/>
        <c:auto val="1"/>
        <c:lblAlgn val="ctr"/>
        <c:lblOffset val="100"/>
        <c:noMultiLvlLbl val="0"/>
      </c:catAx>
      <c:valAx>
        <c:axId val="51954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97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Usage</a:t>
            </a:r>
            <a:r>
              <a:rPr lang="en-US" baseline="0"/>
              <a:t> Comparison: Churned vs Non-Churned</a:t>
            </a:r>
            <a:endParaRPr lang="en-US"/>
          </a:p>
        </c:rich>
      </c:tx>
      <c:layout>
        <c:manualLayout>
          <c:xMode val="edge"/>
          <c:yMode val="edge"/>
          <c:x val="0.1400243146277157"/>
          <c:y val="4.89296636085626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Dashboard!$D$15:$D$17</c:f>
              <c:strCache>
                <c:ptCount val="3"/>
                <c:pt idx="0">
                  <c:v>Day Minutes</c:v>
                </c:pt>
                <c:pt idx="1">
                  <c:v>Day Charge</c:v>
                </c:pt>
                <c:pt idx="2">
                  <c:v>Evening Charge</c:v>
                </c:pt>
              </c:strCache>
            </c:strRef>
          </c:cat>
          <c:val>
            <c:numRef>
              <c:f>Dashboard!$E$15:$E$17</c:f>
              <c:numCache>
                <c:formatCode>General</c:formatCode>
                <c:ptCount val="3"/>
                <c:pt idx="0">
                  <c:v>208.99</c:v>
                </c:pt>
                <c:pt idx="1">
                  <c:v>35.53</c:v>
                </c:pt>
                <c:pt idx="2">
                  <c:v>17.850000000000001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9-4001-A834-37857D3182AE}"/>
            </c:ext>
          </c:extLst>
        </c:ser>
        <c:ser>
          <c:idx val="1"/>
          <c:order val="1"/>
          <c:tx>
            <c:strRef>
              <c:f>Dashboard!$F$14</c:f>
              <c:strCache>
                <c:ptCount val="1"/>
                <c:pt idx="0">
                  <c:v>Non-Churned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Dashboard!$D$15:$D$17</c:f>
              <c:strCache>
                <c:ptCount val="3"/>
                <c:pt idx="0">
                  <c:v>Day Minutes</c:v>
                </c:pt>
                <c:pt idx="1">
                  <c:v>Day Charge</c:v>
                </c:pt>
                <c:pt idx="2">
                  <c:v>Evening Charge</c:v>
                </c:pt>
              </c:strCache>
            </c:strRef>
          </c:cat>
          <c:val>
            <c:numRef>
              <c:f>Dashboard!$F$15:$F$17</c:f>
              <c:numCache>
                <c:formatCode>General</c:formatCode>
                <c:ptCount val="3"/>
                <c:pt idx="0">
                  <c:v>175.56</c:v>
                </c:pt>
                <c:pt idx="1">
                  <c:v>29.84</c:v>
                </c:pt>
                <c:pt idx="2">
                  <c:v>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9-4001-A834-37857D31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9236832"/>
        <c:axId val="519437808"/>
      </c:barChart>
      <c:catAx>
        <c:axId val="73923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37808"/>
        <c:crosses val="autoZero"/>
        <c:auto val="1"/>
        <c:lblAlgn val="ctr"/>
        <c:lblOffset val="100"/>
        <c:noMultiLvlLbl val="0"/>
      </c:catAx>
      <c:valAx>
        <c:axId val="5194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3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303288</xdr:colOff>
      <xdr:row>0</xdr:row>
      <xdr:rowOff>68580</xdr:rowOff>
    </xdr:from>
    <xdr:to>
      <xdr:col>12</xdr:col>
      <xdr:colOff>3870</xdr:colOff>
      <xdr:row>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25074-C83D-168E-9BFA-75A2DC5B5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388440</xdr:colOff>
      <xdr:row>9</xdr:row>
      <xdr:rowOff>157238</xdr:rowOff>
    </xdr:from>
    <xdr:to>
      <xdr:col>12</xdr:col>
      <xdr:colOff>24190</xdr:colOff>
      <xdr:row>16</xdr:row>
      <xdr:rowOff>136856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95752F-A65D-B870-EA4D-5F24B5C5D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428293</xdr:colOff>
      <xdr:row>16</xdr:row>
      <xdr:rowOff>216385</xdr:rowOff>
    </xdr:from>
    <xdr:to>
      <xdr:col>12</xdr:col>
      <xdr:colOff>10765</xdr:colOff>
      <xdr:row>25</xdr:row>
      <xdr:rowOff>65436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8BA4EE-6FE9-558F-DBC2-0E02B3785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419766</xdr:colOff>
      <xdr:row>26</xdr:row>
      <xdr:rowOff>84666</xdr:rowOff>
    </xdr:from>
    <xdr:to>
      <xdr:col>11</xdr:col>
      <xdr:colOff>556381</xdr:colOff>
      <xdr:row>37</xdr:row>
      <xdr:rowOff>13726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41DF21-8D19-D46C-D029-0D56B2DA8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7AB4E-47AA-489A-8422-78AAE1EE08AB}" name="ChurnData" displayName="ChurnData" ref="A1:U4251" totalsRowShown="0">
  <autoFilter ref="A1:U4251" xr:uid="{28E7AB4E-47AA-489A-8422-78AAE1EE08AB}"/>
  <tableColumns count="21">
    <tableColumn id="1" xr3:uid="{11D77E62-F842-49F6-881F-B186D655A6DE}" name="state"/>
    <tableColumn id="2" xr3:uid="{A0B7AA0A-0AE3-4087-AB0D-9AA9DCF355B8}" name="account_length"/>
    <tableColumn id="3" xr3:uid="{55961CEE-6AEE-4174-83D8-E79FF90C9190}" name="area_code"/>
    <tableColumn id="4" xr3:uid="{608A7A8D-5DB3-4F2E-8DC8-87B757A52DDF}" name="international_plan"/>
    <tableColumn id="5" xr3:uid="{6FDA8415-7E9F-4224-84D5-06C22CA98805}" name="voice_mail_plan"/>
    <tableColumn id="6" xr3:uid="{EE73C4FF-1620-4295-82D4-29438720E411}" name="number_vmail_messages"/>
    <tableColumn id="7" xr3:uid="{59E4ECBC-965F-45F6-ABCC-8C976E17BBE7}" name="total_day_minutes"/>
    <tableColumn id="8" xr3:uid="{68CB334E-4187-4DA8-A3B5-E20B2B866274}" name="total_day_calls"/>
    <tableColumn id="9" xr3:uid="{369534BA-3924-4E95-95AD-0A0E739B05F9}" name="total_day_charge"/>
    <tableColumn id="10" xr3:uid="{48D6E72E-9280-46C2-9725-51C0E5086627}" name="total_eve_minutes"/>
    <tableColumn id="11" xr3:uid="{BADD34BE-2A53-49F3-9A56-EE4FDA4B8705}" name="total_eve_calls"/>
    <tableColumn id="12" xr3:uid="{C5193FDD-DE8A-486D-8411-4F7499814EAF}" name="total_eve_charge"/>
    <tableColumn id="13" xr3:uid="{55E183D3-A6C1-4E1C-8B39-10749113E595}" name="total_night_minutes"/>
    <tableColumn id="14" xr3:uid="{5C3B95F3-AD4E-49A8-8B80-D3F373087AA9}" name="total_night_calls"/>
    <tableColumn id="15" xr3:uid="{AD4B7DEF-62D8-4813-8627-D3CA0018D5E3}" name="total_night_charge"/>
    <tableColumn id="16" xr3:uid="{11ABFE91-2DAE-4D5C-835D-561DB259E35C}" name="total_intl_minutes"/>
    <tableColumn id="17" xr3:uid="{CE42339D-B79F-4F96-9CB3-B6ABFA4FB9A6}" name="total_intl_calls"/>
    <tableColumn id="18" xr3:uid="{90AD97F6-22A3-4D64-9BCE-D70C76872A11}" name="total_intl_charge"/>
    <tableColumn id="19" xr3:uid="{0C73A777-0078-4F31-8011-5D25BC895806}" name="number_customer_service_calls"/>
    <tableColumn id="20" xr3:uid="{71075133-9BE8-401A-A725-A7A84B763955}" name="churn"/>
    <tableColumn id="21" xr3:uid="{4AB367D3-9A0C-434A-8A03-9AEE4A40F478}" name="Churn_Flag" dataDxfId="0">
      <calculatedColumnFormula>IF(ChurnData[[#This Row],[churn]]="yes",1,0)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8659-DEDF-4E78-95EF-94621FAC8DB8}">
  <dimension ref="A1:U4251"/>
  <sheetViews>
    <sheetView topLeftCell="Q1" zoomScale="52" workbookViewId="0">
      <selection activeCell="S25" sqref="S25"/>
    </sheetView>
  </sheetViews>
  <sheetFormatPr defaultRowHeight="14.4" x14ac:dyDescent="0.3"/>
  <cols>
    <col min="1" max="1" width="12.109375" bestFit="1" customWidth="1"/>
    <col min="2" max="2" width="25.109375" bestFit="1" customWidth="1"/>
    <col min="3" max="3" width="18.88671875" bestFit="1" customWidth="1"/>
    <col min="4" max="4" width="28.109375" bestFit="1" customWidth="1"/>
    <col min="5" max="5" width="25.5546875" bestFit="1" customWidth="1"/>
    <col min="6" max="6" width="36.21875" bestFit="1" customWidth="1"/>
    <col min="7" max="7" width="28.33203125" bestFit="1" customWidth="1"/>
    <col min="8" max="8" width="24.44140625" bestFit="1" customWidth="1"/>
    <col min="9" max="9" width="27.44140625" bestFit="1" customWidth="1"/>
    <col min="10" max="10" width="28.33203125" bestFit="1" customWidth="1"/>
    <col min="11" max="11" width="24.44140625" bestFit="1" customWidth="1"/>
    <col min="12" max="12" width="27.44140625" bestFit="1" customWidth="1"/>
    <col min="13" max="13" width="30" bestFit="1" customWidth="1"/>
    <col min="14" max="14" width="26.21875" bestFit="1" customWidth="1"/>
    <col min="15" max="15" width="29.21875" bestFit="1" customWidth="1"/>
    <col min="16" max="16" width="27.6640625" bestFit="1" customWidth="1"/>
    <col min="17" max="17" width="23.77734375" bestFit="1" customWidth="1"/>
    <col min="18" max="18" width="26.77734375" customWidth="1"/>
    <col min="19" max="19" width="45.44140625" customWidth="1"/>
    <col min="20" max="20" width="12.88671875" bestFit="1" customWidth="1"/>
    <col min="21" max="21" width="19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148</v>
      </c>
    </row>
    <row r="2" spans="1:21" x14ac:dyDescent="0.3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  <c r="U2">
        <f>IF(ChurnData[[#This Row],[churn]]="yes",1,0)</f>
        <v>0</v>
      </c>
    </row>
    <row r="3" spans="1:21" x14ac:dyDescent="0.3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  <c r="U3">
        <f>IF(ChurnData[[#This Row],[churn]]="yes",1,0)</f>
        <v>0</v>
      </c>
    </row>
    <row r="4" spans="1:21" x14ac:dyDescent="0.3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  <c r="U4">
        <f>IF(ChurnData[[#This Row],[churn]]="yes",1,0)</f>
        <v>0</v>
      </c>
    </row>
    <row r="5" spans="1:21" x14ac:dyDescent="0.3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  <c r="U5">
        <f>IF(ChurnData[[#This Row],[churn]]="yes",1,0)</f>
        <v>0</v>
      </c>
    </row>
    <row r="6" spans="1:21" x14ac:dyDescent="0.3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  <c r="U6">
        <f>IF(ChurnData[[#This Row],[churn]]="yes",1,0)</f>
        <v>0</v>
      </c>
    </row>
    <row r="7" spans="1:21" x14ac:dyDescent="0.3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  <c r="U7">
        <f>IF(ChurnData[[#This Row],[churn]]="yes",1,0)</f>
        <v>0</v>
      </c>
    </row>
    <row r="8" spans="1:21" x14ac:dyDescent="0.3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  <c r="U8">
        <f>IF(ChurnData[[#This Row],[churn]]="yes",1,0)</f>
        <v>0</v>
      </c>
    </row>
    <row r="9" spans="1:21" x14ac:dyDescent="0.3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  <c r="U9">
        <f>IF(ChurnData[[#This Row],[churn]]="yes",1,0)</f>
        <v>0</v>
      </c>
    </row>
    <row r="10" spans="1:21" x14ac:dyDescent="0.3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  <c r="U10">
        <f>IF(ChurnData[[#This Row],[churn]]="yes",1,0)</f>
        <v>1</v>
      </c>
    </row>
    <row r="11" spans="1:21" x14ac:dyDescent="0.3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  <c r="U11">
        <f>IF(ChurnData[[#This Row],[churn]]="yes",1,0)</f>
        <v>0</v>
      </c>
    </row>
    <row r="12" spans="1:21" x14ac:dyDescent="0.3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  <c r="U12">
        <f>IF(ChurnData[[#This Row],[churn]]="yes",1,0)</f>
        <v>0</v>
      </c>
    </row>
    <row r="13" spans="1:21" x14ac:dyDescent="0.3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  <c r="U13">
        <f>IF(ChurnData[[#This Row],[churn]]="yes",1,0)</f>
        <v>0</v>
      </c>
    </row>
    <row r="14" spans="1:21" x14ac:dyDescent="0.3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  <c r="U14">
        <f>IF(ChurnData[[#This Row],[churn]]="yes",1,0)</f>
        <v>1</v>
      </c>
    </row>
    <row r="15" spans="1:21" x14ac:dyDescent="0.3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  <c r="U15">
        <f>IF(ChurnData[[#This Row],[churn]]="yes",1,0)</f>
        <v>0</v>
      </c>
    </row>
    <row r="16" spans="1:21" x14ac:dyDescent="0.3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  <c r="U16">
        <f>IF(ChurnData[[#This Row],[churn]]="yes",1,0)</f>
        <v>0</v>
      </c>
    </row>
    <row r="17" spans="1:21" x14ac:dyDescent="0.3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  <c r="U17">
        <f>IF(ChurnData[[#This Row],[churn]]="yes",1,0)</f>
        <v>0</v>
      </c>
    </row>
    <row r="18" spans="1:21" x14ac:dyDescent="0.3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  <c r="U18">
        <f>IF(ChurnData[[#This Row],[churn]]="yes",1,0)</f>
        <v>0</v>
      </c>
    </row>
    <row r="19" spans="1:21" x14ac:dyDescent="0.3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  <c r="U19">
        <f>IF(ChurnData[[#This Row],[churn]]="yes",1,0)</f>
        <v>1</v>
      </c>
    </row>
    <row r="20" spans="1:21" x14ac:dyDescent="0.3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  <c r="U20">
        <f>IF(ChurnData[[#This Row],[churn]]="yes",1,0)</f>
        <v>0</v>
      </c>
    </row>
    <row r="21" spans="1:21" x14ac:dyDescent="0.3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  <c r="U21">
        <f>IF(ChurnData[[#This Row],[churn]]="yes",1,0)</f>
        <v>0</v>
      </c>
    </row>
    <row r="22" spans="1:21" x14ac:dyDescent="0.3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  <c r="U22">
        <f>IF(ChurnData[[#This Row],[churn]]="yes",1,0)</f>
        <v>0</v>
      </c>
    </row>
    <row r="23" spans="1:21" x14ac:dyDescent="0.3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  <c r="U23">
        <f>IF(ChurnData[[#This Row],[churn]]="yes",1,0)</f>
        <v>0</v>
      </c>
    </row>
    <row r="24" spans="1:21" x14ac:dyDescent="0.3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  <c r="U24">
        <f>IF(ChurnData[[#This Row],[churn]]="yes",1,0)</f>
        <v>0</v>
      </c>
    </row>
    <row r="25" spans="1:21" x14ac:dyDescent="0.3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  <c r="U25">
        <f>IF(ChurnData[[#This Row],[churn]]="yes",1,0)</f>
        <v>0</v>
      </c>
    </row>
    <row r="26" spans="1:21" x14ac:dyDescent="0.3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  <c r="U26">
        <f>IF(ChurnData[[#This Row],[churn]]="yes",1,0)</f>
        <v>0</v>
      </c>
    </row>
    <row r="27" spans="1:21" x14ac:dyDescent="0.3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  <c r="U27">
        <f>IF(ChurnData[[#This Row],[churn]]="yes",1,0)</f>
        <v>0</v>
      </c>
    </row>
    <row r="28" spans="1:21" x14ac:dyDescent="0.3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  <c r="U28">
        <f>IF(ChurnData[[#This Row],[churn]]="yes",1,0)</f>
        <v>1</v>
      </c>
    </row>
    <row r="29" spans="1:21" x14ac:dyDescent="0.3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  <c r="U29">
        <f>IF(ChurnData[[#This Row],[churn]]="yes",1,0)</f>
        <v>0</v>
      </c>
    </row>
    <row r="30" spans="1:21" x14ac:dyDescent="0.3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  <c r="U30">
        <f>IF(ChurnData[[#This Row],[churn]]="yes",1,0)</f>
        <v>0</v>
      </c>
    </row>
    <row r="31" spans="1:21" x14ac:dyDescent="0.3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  <c r="U31">
        <f>IF(ChurnData[[#This Row],[churn]]="yes",1,0)</f>
        <v>0</v>
      </c>
    </row>
    <row r="32" spans="1:21" x14ac:dyDescent="0.3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  <c r="U32">
        <f>IF(ChurnData[[#This Row],[churn]]="yes",1,0)</f>
        <v>0</v>
      </c>
    </row>
    <row r="33" spans="1:21" x14ac:dyDescent="0.3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  <c r="U33">
        <f>IF(ChurnData[[#This Row],[churn]]="yes",1,0)</f>
        <v>0</v>
      </c>
    </row>
    <row r="34" spans="1:21" x14ac:dyDescent="0.3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  <c r="U34">
        <f>IF(ChurnData[[#This Row],[churn]]="yes",1,0)</f>
        <v>1</v>
      </c>
    </row>
    <row r="35" spans="1:21" x14ac:dyDescent="0.3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  <c r="U35">
        <f>IF(ChurnData[[#This Row],[churn]]="yes",1,0)</f>
        <v>0</v>
      </c>
    </row>
    <row r="36" spans="1:21" x14ac:dyDescent="0.3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  <c r="U36">
        <f>IF(ChurnData[[#This Row],[churn]]="yes",1,0)</f>
        <v>0</v>
      </c>
    </row>
    <row r="37" spans="1:21" x14ac:dyDescent="0.3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  <c r="U37">
        <f>IF(ChurnData[[#This Row],[churn]]="yes",1,0)</f>
        <v>0</v>
      </c>
    </row>
    <row r="38" spans="1:21" x14ac:dyDescent="0.3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  <c r="U38">
        <f>IF(ChurnData[[#This Row],[churn]]="yes",1,0)</f>
        <v>0</v>
      </c>
    </row>
    <row r="39" spans="1:21" x14ac:dyDescent="0.3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  <c r="U39">
        <f>IF(ChurnData[[#This Row],[churn]]="yes",1,0)</f>
        <v>0</v>
      </c>
    </row>
    <row r="40" spans="1:21" x14ac:dyDescent="0.3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  <c r="U40">
        <f>IF(ChurnData[[#This Row],[churn]]="yes",1,0)</f>
        <v>0</v>
      </c>
    </row>
    <row r="41" spans="1:21" x14ac:dyDescent="0.3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  <c r="U41">
        <f>IF(ChurnData[[#This Row],[churn]]="yes",1,0)</f>
        <v>0</v>
      </c>
    </row>
    <row r="42" spans="1:21" x14ac:dyDescent="0.3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  <c r="U42">
        <f>IF(ChurnData[[#This Row],[churn]]="yes",1,0)</f>
        <v>0</v>
      </c>
    </row>
    <row r="43" spans="1:21" x14ac:dyDescent="0.3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  <c r="U43">
        <f>IF(ChurnData[[#This Row],[churn]]="yes",1,0)</f>
        <v>0</v>
      </c>
    </row>
    <row r="44" spans="1:21" x14ac:dyDescent="0.3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  <c r="U44">
        <f>IF(ChurnData[[#This Row],[churn]]="yes",1,0)</f>
        <v>0</v>
      </c>
    </row>
    <row r="45" spans="1:21" x14ac:dyDescent="0.3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  <c r="U45">
        <f>IF(ChurnData[[#This Row],[churn]]="yes",1,0)</f>
        <v>0</v>
      </c>
    </row>
    <row r="46" spans="1:21" x14ac:dyDescent="0.3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  <c r="U46">
        <f>IF(ChurnData[[#This Row],[churn]]="yes",1,0)</f>
        <v>0</v>
      </c>
    </row>
    <row r="47" spans="1:21" x14ac:dyDescent="0.3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  <c r="U47">
        <f>IF(ChurnData[[#This Row],[churn]]="yes",1,0)</f>
        <v>0</v>
      </c>
    </row>
    <row r="48" spans="1:21" x14ac:dyDescent="0.3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  <c r="U48">
        <f>IF(ChurnData[[#This Row],[churn]]="yes",1,0)</f>
        <v>1</v>
      </c>
    </row>
    <row r="49" spans="1:21" x14ac:dyDescent="0.3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  <c r="U49">
        <f>IF(ChurnData[[#This Row],[churn]]="yes",1,0)</f>
        <v>0</v>
      </c>
    </row>
    <row r="50" spans="1:21" x14ac:dyDescent="0.3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  <c r="U50">
        <f>IF(ChurnData[[#This Row],[churn]]="yes",1,0)</f>
        <v>0</v>
      </c>
    </row>
    <row r="51" spans="1:21" x14ac:dyDescent="0.3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  <c r="U51">
        <f>IF(ChurnData[[#This Row],[churn]]="yes",1,0)</f>
        <v>0</v>
      </c>
    </row>
    <row r="52" spans="1:21" x14ac:dyDescent="0.3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  <c r="U52">
        <f>IF(ChurnData[[#This Row],[churn]]="yes",1,0)</f>
        <v>0</v>
      </c>
    </row>
    <row r="53" spans="1:21" x14ac:dyDescent="0.3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  <c r="U53">
        <f>IF(ChurnData[[#This Row],[churn]]="yes",1,0)</f>
        <v>0</v>
      </c>
    </row>
    <row r="54" spans="1:21" x14ac:dyDescent="0.3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  <c r="U54">
        <f>IF(ChurnData[[#This Row],[churn]]="yes",1,0)</f>
        <v>0</v>
      </c>
    </row>
    <row r="55" spans="1:21" x14ac:dyDescent="0.3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  <c r="U55">
        <f>IF(ChurnData[[#This Row],[churn]]="yes",1,0)</f>
        <v>0</v>
      </c>
    </row>
    <row r="56" spans="1:21" x14ac:dyDescent="0.3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  <c r="U56">
        <f>IF(ChurnData[[#This Row],[churn]]="yes",1,0)</f>
        <v>0</v>
      </c>
    </row>
    <row r="57" spans="1:21" x14ac:dyDescent="0.3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  <c r="U57">
        <f>IF(ChurnData[[#This Row],[churn]]="yes",1,0)</f>
        <v>0</v>
      </c>
    </row>
    <row r="58" spans="1:21" x14ac:dyDescent="0.3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  <c r="U58">
        <f>IF(ChurnData[[#This Row],[churn]]="yes",1,0)</f>
        <v>1</v>
      </c>
    </row>
    <row r="59" spans="1:21" x14ac:dyDescent="0.3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  <c r="U59">
        <f>IF(ChurnData[[#This Row],[churn]]="yes",1,0)</f>
        <v>0</v>
      </c>
    </row>
    <row r="60" spans="1:21" x14ac:dyDescent="0.3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  <c r="U60">
        <f>IF(ChurnData[[#This Row],[churn]]="yes",1,0)</f>
        <v>0</v>
      </c>
    </row>
    <row r="61" spans="1:21" x14ac:dyDescent="0.3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  <c r="U61">
        <f>IF(ChurnData[[#This Row],[churn]]="yes",1,0)</f>
        <v>0</v>
      </c>
    </row>
    <row r="62" spans="1:21" x14ac:dyDescent="0.3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  <c r="U62">
        <f>IF(ChurnData[[#This Row],[churn]]="yes",1,0)</f>
        <v>0</v>
      </c>
    </row>
    <row r="63" spans="1:21" x14ac:dyDescent="0.3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  <c r="U63">
        <f>IF(ChurnData[[#This Row],[churn]]="yes",1,0)</f>
        <v>0</v>
      </c>
    </row>
    <row r="64" spans="1:21" x14ac:dyDescent="0.3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  <c r="U64">
        <f>IF(ChurnData[[#This Row],[churn]]="yes",1,0)</f>
        <v>0</v>
      </c>
    </row>
    <row r="65" spans="1:21" x14ac:dyDescent="0.3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  <c r="U65">
        <f>IF(ChurnData[[#This Row],[churn]]="yes",1,0)</f>
        <v>1</v>
      </c>
    </row>
    <row r="66" spans="1:21" x14ac:dyDescent="0.3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  <c r="U66">
        <f>IF(ChurnData[[#This Row],[churn]]="yes",1,0)</f>
        <v>1</v>
      </c>
    </row>
    <row r="67" spans="1:21" x14ac:dyDescent="0.3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  <c r="U67">
        <f>IF(ChurnData[[#This Row],[churn]]="yes",1,0)</f>
        <v>0</v>
      </c>
    </row>
    <row r="68" spans="1:21" x14ac:dyDescent="0.3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  <c r="U68">
        <f>IF(ChurnData[[#This Row],[churn]]="yes",1,0)</f>
        <v>0</v>
      </c>
    </row>
    <row r="69" spans="1:21" x14ac:dyDescent="0.3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  <c r="U69">
        <f>IF(ChurnData[[#This Row],[churn]]="yes",1,0)</f>
        <v>0</v>
      </c>
    </row>
    <row r="70" spans="1:21" x14ac:dyDescent="0.3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  <c r="U70">
        <f>IF(ChurnData[[#This Row],[churn]]="yes",1,0)</f>
        <v>0</v>
      </c>
    </row>
    <row r="71" spans="1:21" x14ac:dyDescent="0.3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  <c r="U71">
        <f>IF(ChurnData[[#This Row],[churn]]="yes",1,0)</f>
        <v>0</v>
      </c>
    </row>
    <row r="72" spans="1:21" x14ac:dyDescent="0.3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  <c r="U72">
        <f>IF(ChurnData[[#This Row],[churn]]="yes",1,0)</f>
        <v>0</v>
      </c>
    </row>
    <row r="73" spans="1:21" x14ac:dyDescent="0.3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  <c r="U73">
        <f>IF(ChurnData[[#This Row],[churn]]="yes",1,0)</f>
        <v>1</v>
      </c>
    </row>
    <row r="74" spans="1:21" x14ac:dyDescent="0.3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  <c r="U74">
        <f>IF(ChurnData[[#This Row],[churn]]="yes",1,0)</f>
        <v>0</v>
      </c>
    </row>
    <row r="75" spans="1:21" x14ac:dyDescent="0.3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  <c r="U75">
        <f>IF(ChurnData[[#This Row],[churn]]="yes",1,0)</f>
        <v>0</v>
      </c>
    </row>
    <row r="76" spans="1:21" x14ac:dyDescent="0.3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  <c r="U76">
        <f>IF(ChurnData[[#This Row],[churn]]="yes",1,0)</f>
        <v>1</v>
      </c>
    </row>
    <row r="77" spans="1:21" x14ac:dyDescent="0.3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  <c r="U77">
        <f>IF(ChurnData[[#This Row],[churn]]="yes",1,0)</f>
        <v>0</v>
      </c>
    </row>
    <row r="78" spans="1:21" x14ac:dyDescent="0.3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  <c r="U78">
        <f>IF(ChurnData[[#This Row],[churn]]="yes",1,0)</f>
        <v>1</v>
      </c>
    </row>
    <row r="79" spans="1:21" x14ac:dyDescent="0.3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  <c r="U79">
        <f>IF(ChurnData[[#This Row],[churn]]="yes",1,0)</f>
        <v>0</v>
      </c>
    </row>
    <row r="80" spans="1:21" x14ac:dyDescent="0.3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  <c r="U80">
        <f>IF(ChurnData[[#This Row],[churn]]="yes",1,0)</f>
        <v>0</v>
      </c>
    </row>
    <row r="81" spans="1:21" x14ac:dyDescent="0.3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  <c r="U81">
        <f>IF(ChurnData[[#This Row],[churn]]="yes",1,0)</f>
        <v>0</v>
      </c>
    </row>
    <row r="82" spans="1:21" x14ac:dyDescent="0.3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  <c r="U82">
        <f>IF(ChurnData[[#This Row],[churn]]="yes",1,0)</f>
        <v>0</v>
      </c>
    </row>
    <row r="83" spans="1:21" x14ac:dyDescent="0.3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  <c r="U83">
        <f>IF(ChurnData[[#This Row],[churn]]="yes",1,0)</f>
        <v>0</v>
      </c>
    </row>
    <row r="84" spans="1:21" x14ac:dyDescent="0.3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  <c r="U84">
        <f>IF(ChurnData[[#This Row],[churn]]="yes",1,0)</f>
        <v>1</v>
      </c>
    </row>
    <row r="85" spans="1:21" x14ac:dyDescent="0.3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  <c r="U85">
        <f>IF(ChurnData[[#This Row],[churn]]="yes",1,0)</f>
        <v>1</v>
      </c>
    </row>
    <row r="86" spans="1:21" x14ac:dyDescent="0.3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  <c r="U86">
        <f>IF(ChurnData[[#This Row],[churn]]="yes",1,0)</f>
        <v>0</v>
      </c>
    </row>
    <row r="87" spans="1:21" x14ac:dyDescent="0.3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  <c r="U87">
        <f>IF(ChurnData[[#This Row],[churn]]="yes",1,0)</f>
        <v>0</v>
      </c>
    </row>
    <row r="88" spans="1:21" x14ac:dyDescent="0.3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  <c r="U88">
        <f>IF(ChurnData[[#This Row],[churn]]="yes",1,0)</f>
        <v>0</v>
      </c>
    </row>
    <row r="89" spans="1:21" x14ac:dyDescent="0.3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  <c r="U89">
        <f>IF(ChurnData[[#This Row],[churn]]="yes",1,0)</f>
        <v>0</v>
      </c>
    </row>
    <row r="90" spans="1:21" x14ac:dyDescent="0.3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  <c r="U90">
        <f>IF(ChurnData[[#This Row],[churn]]="yes",1,0)</f>
        <v>0</v>
      </c>
    </row>
    <row r="91" spans="1:21" x14ac:dyDescent="0.3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  <c r="U91">
        <f>IF(ChurnData[[#This Row],[churn]]="yes",1,0)</f>
        <v>0</v>
      </c>
    </row>
    <row r="92" spans="1:21" x14ac:dyDescent="0.3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  <c r="U92">
        <f>IF(ChurnData[[#This Row],[churn]]="yes",1,0)</f>
        <v>0</v>
      </c>
    </row>
    <row r="93" spans="1:21" x14ac:dyDescent="0.3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  <c r="U93">
        <f>IF(ChurnData[[#This Row],[churn]]="yes",1,0)</f>
        <v>0</v>
      </c>
    </row>
    <row r="94" spans="1:21" x14ac:dyDescent="0.3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  <c r="U94">
        <f>IF(ChurnData[[#This Row],[churn]]="yes",1,0)</f>
        <v>0</v>
      </c>
    </row>
    <row r="95" spans="1:21" x14ac:dyDescent="0.3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  <c r="U95">
        <f>IF(ChurnData[[#This Row],[churn]]="yes",1,0)</f>
        <v>0</v>
      </c>
    </row>
    <row r="96" spans="1:21" x14ac:dyDescent="0.3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  <c r="U96">
        <f>IF(ChurnData[[#This Row],[churn]]="yes",1,0)</f>
        <v>0</v>
      </c>
    </row>
    <row r="97" spans="1:21" x14ac:dyDescent="0.3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  <c r="U97">
        <f>IF(ChurnData[[#This Row],[churn]]="yes",1,0)</f>
        <v>0</v>
      </c>
    </row>
    <row r="98" spans="1:21" x14ac:dyDescent="0.3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  <c r="U98">
        <f>IF(ChurnData[[#This Row],[churn]]="yes",1,0)</f>
        <v>1</v>
      </c>
    </row>
    <row r="99" spans="1:21" x14ac:dyDescent="0.3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  <c r="U99">
        <f>IF(ChurnData[[#This Row],[churn]]="yes",1,0)</f>
        <v>0</v>
      </c>
    </row>
    <row r="100" spans="1:21" x14ac:dyDescent="0.3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  <c r="U100">
        <f>IF(ChurnData[[#This Row],[churn]]="yes",1,0)</f>
        <v>1</v>
      </c>
    </row>
    <row r="101" spans="1:21" x14ac:dyDescent="0.3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  <c r="U101">
        <f>IF(ChurnData[[#This Row],[churn]]="yes",1,0)</f>
        <v>0</v>
      </c>
    </row>
    <row r="102" spans="1:21" x14ac:dyDescent="0.3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  <c r="U102">
        <f>IF(ChurnData[[#This Row],[churn]]="yes",1,0)</f>
        <v>0</v>
      </c>
    </row>
    <row r="103" spans="1:21" x14ac:dyDescent="0.3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  <c r="U103">
        <f>IF(ChurnData[[#This Row],[churn]]="yes",1,0)</f>
        <v>0</v>
      </c>
    </row>
    <row r="104" spans="1:21" x14ac:dyDescent="0.3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  <c r="U104">
        <f>IF(ChurnData[[#This Row],[churn]]="yes",1,0)</f>
        <v>0</v>
      </c>
    </row>
    <row r="105" spans="1:21" x14ac:dyDescent="0.3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  <c r="U105">
        <f>IF(ChurnData[[#This Row],[churn]]="yes",1,0)</f>
        <v>0</v>
      </c>
    </row>
    <row r="106" spans="1:21" x14ac:dyDescent="0.3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  <c r="U106">
        <f>IF(ChurnData[[#This Row],[churn]]="yes",1,0)</f>
        <v>0</v>
      </c>
    </row>
    <row r="107" spans="1:21" x14ac:dyDescent="0.3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  <c r="U107">
        <f>IF(ChurnData[[#This Row],[churn]]="yes",1,0)</f>
        <v>1</v>
      </c>
    </row>
    <row r="108" spans="1:21" x14ac:dyDescent="0.3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  <c r="U108">
        <f>IF(ChurnData[[#This Row],[churn]]="yes",1,0)</f>
        <v>1</v>
      </c>
    </row>
    <row r="109" spans="1:21" x14ac:dyDescent="0.3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  <c r="U109">
        <f>IF(ChurnData[[#This Row],[churn]]="yes",1,0)</f>
        <v>0</v>
      </c>
    </row>
    <row r="110" spans="1:21" x14ac:dyDescent="0.3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  <c r="U110">
        <f>IF(ChurnData[[#This Row],[churn]]="yes",1,0)</f>
        <v>0</v>
      </c>
    </row>
    <row r="111" spans="1:21" x14ac:dyDescent="0.3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  <c r="U111">
        <f>IF(ChurnData[[#This Row],[churn]]="yes",1,0)</f>
        <v>0</v>
      </c>
    </row>
    <row r="112" spans="1:21" x14ac:dyDescent="0.3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  <c r="U112">
        <f>IF(ChurnData[[#This Row],[churn]]="yes",1,0)</f>
        <v>0</v>
      </c>
    </row>
    <row r="113" spans="1:21" x14ac:dyDescent="0.3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  <c r="U113">
        <f>IF(ChurnData[[#This Row],[churn]]="yes",1,0)</f>
        <v>0</v>
      </c>
    </row>
    <row r="114" spans="1:21" x14ac:dyDescent="0.3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  <c r="U114">
        <f>IF(ChurnData[[#This Row],[churn]]="yes",1,0)</f>
        <v>0</v>
      </c>
    </row>
    <row r="115" spans="1:21" x14ac:dyDescent="0.3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  <c r="U115">
        <f>IF(ChurnData[[#This Row],[churn]]="yes",1,0)</f>
        <v>0</v>
      </c>
    </row>
    <row r="116" spans="1:21" x14ac:dyDescent="0.3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  <c r="U116">
        <f>IF(ChurnData[[#This Row],[churn]]="yes",1,0)</f>
        <v>0</v>
      </c>
    </row>
    <row r="117" spans="1:21" x14ac:dyDescent="0.3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  <c r="U117">
        <f>IF(ChurnData[[#This Row],[churn]]="yes",1,0)</f>
        <v>0</v>
      </c>
    </row>
    <row r="118" spans="1:21" x14ac:dyDescent="0.3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  <c r="U118">
        <f>IF(ChurnData[[#This Row],[churn]]="yes",1,0)</f>
        <v>0</v>
      </c>
    </row>
    <row r="119" spans="1:21" x14ac:dyDescent="0.3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  <c r="U119">
        <f>IF(ChurnData[[#This Row],[churn]]="yes",1,0)</f>
        <v>0</v>
      </c>
    </row>
    <row r="120" spans="1:21" x14ac:dyDescent="0.3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  <c r="U120">
        <f>IF(ChurnData[[#This Row],[churn]]="yes",1,0)</f>
        <v>0</v>
      </c>
    </row>
    <row r="121" spans="1:21" x14ac:dyDescent="0.3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  <c r="U121">
        <f>IF(ChurnData[[#This Row],[churn]]="yes",1,0)</f>
        <v>0</v>
      </c>
    </row>
    <row r="122" spans="1:21" x14ac:dyDescent="0.3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  <c r="U122">
        <f>IF(ChurnData[[#This Row],[churn]]="yes",1,0)</f>
        <v>1</v>
      </c>
    </row>
    <row r="123" spans="1:21" x14ac:dyDescent="0.3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  <c r="U123">
        <f>IF(ChurnData[[#This Row],[churn]]="yes",1,0)</f>
        <v>0</v>
      </c>
    </row>
    <row r="124" spans="1:21" x14ac:dyDescent="0.3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  <c r="U124">
        <f>IF(ChurnData[[#This Row],[churn]]="yes",1,0)</f>
        <v>0</v>
      </c>
    </row>
    <row r="125" spans="1:21" x14ac:dyDescent="0.3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  <c r="U125">
        <f>IF(ChurnData[[#This Row],[churn]]="yes",1,0)</f>
        <v>0</v>
      </c>
    </row>
    <row r="126" spans="1:21" x14ac:dyDescent="0.3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  <c r="U126">
        <f>IF(ChurnData[[#This Row],[churn]]="yes",1,0)</f>
        <v>0</v>
      </c>
    </row>
    <row r="127" spans="1:21" x14ac:dyDescent="0.3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  <c r="U127">
        <f>IF(ChurnData[[#This Row],[churn]]="yes",1,0)</f>
        <v>0</v>
      </c>
    </row>
    <row r="128" spans="1:21" x14ac:dyDescent="0.3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  <c r="U128">
        <f>IF(ChurnData[[#This Row],[churn]]="yes",1,0)</f>
        <v>0</v>
      </c>
    </row>
    <row r="129" spans="1:21" x14ac:dyDescent="0.3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  <c r="U129">
        <f>IF(ChurnData[[#This Row],[churn]]="yes",1,0)</f>
        <v>0</v>
      </c>
    </row>
    <row r="130" spans="1:21" x14ac:dyDescent="0.3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  <c r="U130">
        <f>IF(ChurnData[[#This Row],[churn]]="yes",1,0)</f>
        <v>0</v>
      </c>
    </row>
    <row r="131" spans="1:21" x14ac:dyDescent="0.3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  <c r="U131">
        <f>IF(ChurnData[[#This Row],[churn]]="yes",1,0)</f>
        <v>1</v>
      </c>
    </row>
    <row r="132" spans="1:21" x14ac:dyDescent="0.3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  <c r="U132">
        <f>IF(ChurnData[[#This Row],[churn]]="yes",1,0)</f>
        <v>0</v>
      </c>
    </row>
    <row r="133" spans="1:21" x14ac:dyDescent="0.3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  <c r="U133">
        <f>IF(ChurnData[[#This Row],[churn]]="yes",1,0)</f>
        <v>0</v>
      </c>
    </row>
    <row r="134" spans="1:21" x14ac:dyDescent="0.3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  <c r="U134">
        <f>IF(ChurnData[[#This Row],[churn]]="yes",1,0)</f>
        <v>0</v>
      </c>
    </row>
    <row r="135" spans="1:21" x14ac:dyDescent="0.3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  <c r="U135">
        <f>IF(ChurnData[[#This Row],[churn]]="yes",1,0)</f>
        <v>0</v>
      </c>
    </row>
    <row r="136" spans="1:21" x14ac:dyDescent="0.3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  <c r="U136">
        <f>IF(ChurnData[[#This Row],[churn]]="yes",1,0)</f>
        <v>0</v>
      </c>
    </row>
    <row r="137" spans="1:21" x14ac:dyDescent="0.3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  <c r="U137">
        <f>IF(ChurnData[[#This Row],[churn]]="yes",1,0)</f>
        <v>0</v>
      </c>
    </row>
    <row r="138" spans="1:21" x14ac:dyDescent="0.3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  <c r="U138">
        <f>IF(ChurnData[[#This Row],[churn]]="yes",1,0)</f>
        <v>0</v>
      </c>
    </row>
    <row r="139" spans="1:21" x14ac:dyDescent="0.3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  <c r="U139">
        <f>IF(ChurnData[[#This Row],[churn]]="yes",1,0)</f>
        <v>0</v>
      </c>
    </row>
    <row r="140" spans="1:21" x14ac:dyDescent="0.3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  <c r="U140">
        <f>IF(ChurnData[[#This Row],[churn]]="yes",1,0)</f>
        <v>0</v>
      </c>
    </row>
    <row r="141" spans="1:21" x14ac:dyDescent="0.3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  <c r="U141">
        <f>IF(ChurnData[[#This Row],[churn]]="yes",1,0)</f>
        <v>0</v>
      </c>
    </row>
    <row r="142" spans="1:21" x14ac:dyDescent="0.3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  <c r="U142">
        <f>IF(ChurnData[[#This Row],[churn]]="yes",1,0)</f>
        <v>0</v>
      </c>
    </row>
    <row r="143" spans="1:21" x14ac:dyDescent="0.3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  <c r="U143">
        <f>IF(ChurnData[[#This Row],[churn]]="yes",1,0)</f>
        <v>0</v>
      </c>
    </row>
    <row r="144" spans="1:21" x14ac:dyDescent="0.3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  <c r="U144">
        <f>IF(ChurnData[[#This Row],[churn]]="yes",1,0)</f>
        <v>0</v>
      </c>
    </row>
    <row r="145" spans="1:21" x14ac:dyDescent="0.3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  <c r="U145">
        <f>IF(ChurnData[[#This Row],[churn]]="yes",1,0)</f>
        <v>0</v>
      </c>
    </row>
    <row r="146" spans="1:21" x14ac:dyDescent="0.3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  <c r="U146">
        <f>IF(ChurnData[[#This Row],[churn]]="yes",1,0)</f>
        <v>0</v>
      </c>
    </row>
    <row r="147" spans="1:21" x14ac:dyDescent="0.3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  <c r="U147">
        <f>IF(ChurnData[[#This Row],[churn]]="yes",1,0)</f>
        <v>0</v>
      </c>
    </row>
    <row r="148" spans="1:21" x14ac:dyDescent="0.3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  <c r="U148">
        <f>IF(ChurnData[[#This Row],[churn]]="yes",1,0)</f>
        <v>0</v>
      </c>
    </row>
    <row r="149" spans="1:21" x14ac:dyDescent="0.3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  <c r="U149">
        <f>IF(ChurnData[[#This Row],[churn]]="yes",1,0)</f>
        <v>0</v>
      </c>
    </row>
    <row r="150" spans="1:21" x14ac:dyDescent="0.3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  <c r="U150">
        <f>IF(ChurnData[[#This Row],[churn]]="yes",1,0)</f>
        <v>1</v>
      </c>
    </row>
    <row r="151" spans="1:21" x14ac:dyDescent="0.3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  <c r="U151">
        <f>IF(ChurnData[[#This Row],[churn]]="yes",1,0)</f>
        <v>0</v>
      </c>
    </row>
    <row r="152" spans="1:21" x14ac:dyDescent="0.3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  <c r="U152">
        <f>IF(ChurnData[[#This Row],[churn]]="yes",1,0)</f>
        <v>0</v>
      </c>
    </row>
    <row r="153" spans="1:21" x14ac:dyDescent="0.3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  <c r="U153">
        <f>IF(ChurnData[[#This Row],[churn]]="yes",1,0)</f>
        <v>0</v>
      </c>
    </row>
    <row r="154" spans="1:21" x14ac:dyDescent="0.3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  <c r="U154">
        <f>IF(ChurnData[[#This Row],[churn]]="yes",1,0)</f>
        <v>0</v>
      </c>
    </row>
    <row r="155" spans="1:21" x14ac:dyDescent="0.3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  <c r="U155">
        <f>IF(ChurnData[[#This Row],[churn]]="yes",1,0)</f>
        <v>0</v>
      </c>
    </row>
    <row r="156" spans="1:21" x14ac:dyDescent="0.3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  <c r="U156">
        <f>IF(ChurnData[[#This Row],[churn]]="yes",1,0)</f>
        <v>0</v>
      </c>
    </row>
    <row r="157" spans="1:21" x14ac:dyDescent="0.3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  <c r="U157">
        <f>IF(ChurnData[[#This Row],[churn]]="yes",1,0)</f>
        <v>0</v>
      </c>
    </row>
    <row r="158" spans="1:21" x14ac:dyDescent="0.3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  <c r="U158">
        <f>IF(ChurnData[[#This Row],[churn]]="yes",1,0)</f>
        <v>0</v>
      </c>
    </row>
    <row r="159" spans="1:21" x14ac:dyDescent="0.3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  <c r="U159">
        <f>IF(ChurnData[[#This Row],[churn]]="yes",1,0)</f>
        <v>0</v>
      </c>
    </row>
    <row r="160" spans="1:21" x14ac:dyDescent="0.3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  <c r="U160">
        <f>IF(ChurnData[[#This Row],[churn]]="yes",1,0)</f>
        <v>0</v>
      </c>
    </row>
    <row r="161" spans="1:21" x14ac:dyDescent="0.3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  <c r="U161">
        <f>IF(ChurnData[[#This Row],[churn]]="yes",1,0)</f>
        <v>0</v>
      </c>
    </row>
    <row r="162" spans="1:21" x14ac:dyDescent="0.3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  <c r="U162">
        <f>IF(ChurnData[[#This Row],[churn]]="yes",1,0)</f>
        <v>0</v>
      </c>
    </row>
    <row r="163" spans="1:21" x14ac:dyDescent="0.3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  <c r="U163">
        <f>IF(ChurnData[[#This Row],[churn]]="yes",1,0)</f>
        <v>0</v>
      </c>
    </row>
    <row r="164" spans="1:21" x14ac:dyDescent="0.3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  <c r="U164">
        <f>IF(ChurnData[[#This Row],[churn]]="yes",1,0)</f>
        <v>1</v>
      </c>
    </row>
    <row r="165" spans="1:21" x14ac:dyDescent="0.3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  <c r="U165">
        <f>IF(ChurnData[[#This Row],[churn]]="yes",1,0)</f>
        <v>1</v>
      </c>
    </row>
    <row r="166" spans="1:21" x14ac:dyDescent="0.3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  <c r="U166">
        <f>IF(ChurnData[[#This Row],[churn]]="yes",1,0)</f>
        <v>0</v>
      </c>
    </row>
    <row r="167" spans="1:21" x14ac:dyDescent="0.3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  <c r="U167">
        <f>IF(ChurnData[[#This Row],[churn]]="yes",1,0)</f>
        <v>0</v>
      </c>
    </row>
    <row r="168" spans="1:21" x14ac:dyDescent="0.3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  <c r="U168">
        <f>IF(ChurnData[[#This Row],[churn]]="yes",1,0)</f>
        <v>0</v>
      </c>
    </row>
    <row r="169" spans="1:21" x14ac:dyDescent="0.3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  <c r="U169">
        <f>IF(ChurnData[[#This Row],[churn]]="yes",1,0)</f>
        <v>0</v>
      </c>
    </row>
    <row r="170" spans="1:21" x14ac:dyDescent="0.3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  <c r="U170">
        <f>IF(ChurnData[[#This Row],[churn]]="yes",1,0)</f>
        <v>0</v>
      </c>
    </row>
    <row r="171" spans="1:21" x14ac:dyDescent="0.3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  <c r="U171">
        <f>IF(ChurnData[[#This Row],[churn]]="yes",1,0)</f>
        <v>0</v>
      </c>
    </row>
    <row r="172" spans="1:21" x14ac:dyDescent="0.3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  <c r="U172">
        <f>IF(ChurnData[[#This Row],[churn]]="yes",1,0)</f>
        <v>0</v>
      </c>
    </row>
    <row r="173" spans="1:21" x14ac:dyDescent="0.3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  <c r="U173">
        <f>IF(ChurnData[[#This Row],[churn]]="yes",1,0)</f>
        <v>0</v>
      </c>
    </row>
    <row r="174" spans="1:21" x14ac:dyDescent="0.3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  <c r="U174">
        <f>IF(ChurnData[[#This Row],[churn]]="yes",1,0)</f>
        <v>0</v>
      </c>
    </row>
    <row r="175" spans="1:21" x14ac:dyDescent="0.3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  <c r="U175">
        <f>IF(ChurnData[[#This Row],[churn]]="yes",1,0)</f>
        <v>0</v>
      </c>
    </row>
    <row r="176" spans="1:21" x14ac:dyDescent="0.3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  <c r="U176">
        <f>IF(ChurnData[[#This Row],[churn]]="yes",1,0)</f>
        <v>0</v>
      </c>
    </row>
    <row r="177" spans="1:21" x14ac:dyDescent="0.3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  <c r="U177">
        <f>IF(ChurnData[[#This Row],[churn]]="yes",1,0)</f>
        <v>0</v>
      </c>
    </row>
    <row r="178" spans="1:21" x14ac:dyDescent="0.3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  <c r="U178">
        <f>IF(ChurnData[[#This Row],[churn]]="yes",1,0)</f>
        <v>0</v>
      </c>
    </row>
    <row r="179" spans="1:21" x14ac:dyDescent="0.3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  <c r="U179">
        <f>IF(ChurnData[[#This Row],[churn]]="yes",1,0)</f>
        <v>0</v>
      </c>
    </row>
    <row r="180" spans="1:21" x14ac:dyDescent="0.3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  <c r="U180">
        <f>IF(ChurnData[[#This Row],[churn]]="yes",1,0)</f>
        <v>0</v>
      </c>
    </row>
    <row r="181" spans="1:21" x14ac:dyDescent="0.3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  <c r="U181">
        <f>IF(ChurnData[[#This Row],[churn]]="yes",1,0)</f>
        <v>0</v>
      </c>
    </row>
    <row r="182" spans="1:21" x14ac:dyDescent="0.3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  <c r="U182">
        <f>IF(ChurnData[[#This Row],[churn]]="yes",1,0)</f>
        <v>0</v>
      </c>
    </row>
    <row r="183" spans="1:21" x14ac:dyDescent="0.3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  <c r="U183">
        <f>IF(ChurnData[[#This Row],[churn]]="yes",1,0)</f>
        <v>0</v>
      </c>
    </row>
    <row r="184" spans="1:21" x14ac:dyDescent="0.3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  <c r="U184">
        <f>IF(ChurnData[[#This Row],[churn]]="yes",1,0)</f>
        <v>0</v>
      </c>
    </row>
    <row r="185" spans="1:21" x14ac:dyDescent="0.3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  <c r="U185">
        <f>IF(ChurnData[[#This Row],[churn]]="yes",1,0)</f>
        <v>0</v>
      </c>
    </row>
    <row r="186" spans="1:21" x14ac:dyDescent="0.3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  <c r="U186">
        <f>IF(ChurnData[[#This Row],[churn]]="yes",1,0)</f>
        <v>0</v>
      </c>
    </row>
    <row r="187" spans="1:21" x14ac:dyDescent="0.3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  <c r="U187">
        <f>IF(ChurnData[[#This Row],[churn]]="yes",1,0)</f>
        <v>0</v>
      </c>
    </row>
    <row r="188" spans="1:21" x14ac:dyDescent="0.3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  <c r="U188">
        <f>IF(ChurnData[[#This Row],[churn]]="yes",1,0)</f>
        <v>0</v>
      </c>
    </row>
    <row r="189" spans="1:21" x14ac:dyDescent="0.3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  <c r="U189">
        <f>IF(ChurnData[[#This Row],[churn]]="yes",1,0)</f>
        <v>0</v>
      </c>
    </row>
    <row r="190" spans="1:21" x14ac:dyDescent="0.3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  <c r="U190">
        <f>IF(ChurnData[[#This Row],[churn]]="yes",1,0)</f>
        <v>0</v>
      </c>
    </row>
    <row r="191" spans="1:21" x14ac:dyDescent="0.3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  <c r="U191">
        <f>IF(ChurnData[[#This Row],[churn]]="yes",1,0)</f>
        <v>1</v>
      </c>
    </row>
    <row r="192" spans="1:21" x14ac:dyDescent="0.3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  <c r="U192">
        <f>IF(ChurnData[[#This Row],[churn]]="yes",1,0)</f>
        <v>0</v>
      </c>
    </row>
    <row r="193" spans="1:21" x14ac:dyDescent="0.3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  <c r="U193">
        <f>IF(ChurnData[[#This Row],[churn]]="yes",1,0)</f>
        <v>0</v>
      </c>
    </row>
    <row r="194" spans="1:21" x14ac:dyDescent="0.3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  <c r="U194">
        <f>IF(ChurnData[[#This Row],[churn]]="yes",1,0)</f>
        <v>0</v>
      </c>
    </row>
    <row r="195" spans="1:21" x14ac:dyDescent="0.3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  <c r="U195">
        <f>IF(ChurnData[[#This Row],[churn]]="yes",1,0)</f>
        <v>0</v>
      </c>
    </row>
    <row r="196" spans="1:21" x14ac:dyDescent="0.3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  <c r="U196">
        <f>IF(ChurnData[[#This Row],[churn]]="yes",1,0)</f>
        <v>1</v>
      </c>
    </row>
    <row r="197" spans="1:21" x14ac:dyDescent="0.3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  <c r="U197">
        <f>IF(ChurnData[[#This Row],[churn]]="yes",1,0)</f>
        <v>0</v>
      </c>
    </row>
    <row r="198" spans="1:21" x14ac:dyDescent="0.3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  <c r="U198">
        <f>IF(ChurnData[[#This Row],[churn]]="yes",1,0)</f>
        <v>0</v>
      </c>
    </row>
    <row r="199" spans="1:21" x14ac:dyDescent="0.3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  <c r="U199">
        <f>IF(ChurnData[[#This Row],[churn]]="yes",1,0)</f>
        <v>0</v>
      </c>
    </row>
    <row r="200" spans="1:21" x14ac:dyDescent="0.3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  <c r="U200">
        <f>IF(ChurnData[[#This Row],[churn]]="yes",1,0)</f>
        <v>0</v>
      </c>
    </row>
    <row r="201" spans="1:21" x14ac:dyDescent="0.3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  <c r="U201">
        <f>IF(ChurnData[[#This Row],[churn]]="yes",1,0)</f>
        <v>1</v>
      </c>
    </row>
    <row r="202" spans="1:21" x14ac:dyDescent="0.3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  <c r="U202">
        <f>IF(ChurnData[[#This Row],[churn]]="yes",1,0)</f>
        <v>0</v>
      </c>
    </row>
    <row r="203" spans="1:21" x14ac:dyDescent="0.3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  <c r="U203">
        <f>IF(ChurnData[[#This Row],[churn]]="yes",1,0)</f>
        <v>0</v>
      </c>
    </row>
    <row r="204" spans="1:21" x14ac:dyDescent="0.3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  <c r="U204">
        <f>IF(ChurnData[[#This Row],[churn]]="yes",1,0)</f>
        <v>0</v>
      </c>
    </row>
    <row r="205" spans="1:21" x14ac:dyDescent="0.3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  <c r="U205">
        <f>IF(ChurnData[[#This Row],[churn]]="yes",1,0)</f>
        <v>0</v>
      </c>
    </row>
    <row r="206" spans="1:21" x14ac:dyDescent="0.3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  <c r="U206">
        <f>IF(ChurnData[[#This Row],[churn]]="yes",1,0)</f>
        <v>0</v>
      </c>
    </row>
    <row r="207" spans="1:21" x14ac:dyDescent="0.3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  <c r="U207">
        <f>IF(ChurnData[[#This Row],[churn]]="yes",1,0)</f>
        <v>1</v>
      </c>
    </row>
    <row r="208" spans="1:21" x14ac:dyDescent="0.3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  <c r="U208">
        <f>IF(ChurnData[[#This Row],[churn]]="yes",1,0)</f>
        <v>0</v>
      </c>
    </row>
    <row r="209" spans="1:21" x14ac:dyDescent="0.3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  <c r="U209">
        <f>IF(ChurnData[[#This Row],[churn]]="yes",1,0)</f>
        <v>0</v>
      </c>
    </row>
    <row r="210" spans="1:21" x14ac:dyDescent="0.3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  <c r="U210">
        <f>IF(ChurnData[[#This Row],[churn]]="yes",1,0)</f>
        <v>0</v>
      </c>
    </row>
    <row r="211" spans="1:21" x14ac:dyDescent="0.3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  <c r="U211">
        <f>IF(ChurnData[[#This Row],[churn]]="yes",1,0)</f>
        <v>0</v>
      </c>
    </row>
    <row r="212" spans="1:21" x14ac:dyDescent="0.3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  <c r="U212">
        <f>IF(ChurnData[[#This Row],[churn]]="yes",1,0)</f>
        <v>0</v>
      </c>
    </row>
    <row r="213" spans="1:21" x14ac:dyDescent="0.3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  <c r="U213">
        <f>IF(ChurnData[[#This Row],[churn]]="yes",1,0)</f>
        <v>0</v>
      </c>
    </row>
    <row r="214" spans="1:21" x14ac:dyDescent="0.3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  <c r="U214">
        <f>IF(ChurnData[[#This Row],[churn]]="yes",1,0)</f>
        <v>1</v>
      </c>
    </row>
    <row r="215" spans="1:21" x14ac:dyDescent="0.3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  <c r="U215">
        <f>IF(ChurnData[[#This Row],[churn]]="yes",1,0)</f>
        <v>0</v>
      </c>
    </row>
    <row r="216" spans="1:21" x14ac:dyDescent="0.3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  <c r="U216">
        <f>IF(ChurnData[[#This Row],[churn]]="yes",1,0)</f>
        <v>0</v>
      </c>
    </row>
    <row r="217" spans="1:21" x14ac:dyDescent="0.3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  <c r="U217">
        <f>IF(ChurnData[[#This Row],[churn]]="yes",1,0)</f>
        <v>0</v>
      </c>
    </row>
    <row r="218" spans="1:21" x14ac:dyDescent="0.3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  <c r="U218">
        <f>IF(ChurnData[[#This Row],[churn]]="yes",1,0)</f>
        <v>0</v>
      </c>
    </row>
    <row r="219" spans="1:21" x14ac:dyDescent="0.3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  <c r="U219">
        <f>IF(ChurnData[[#This Row],[churn]]="yes",1,0)</f>
        <v>0</v>
      </c>
    </row>
    <row r="220" spans="1:21" x14ac:dyDescent="0.3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  <c r="U220">
        <f>IF(ChurnData[[#This Row],[churn]]="yes",1,0)</f>
        <v>0</v>
      </c>
    </row>
    <row r="221" spans="1:21" x14ac:dyDescent="0.3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  <c r="U221">
        <f>IF(ChurnData[[#This Row],[churn]]="yes",1,0)</f>
        <v>0</v>
      </c>
    </row>
    <row r="222" spans="1:21" x14ac:dyDescent="0.3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  <c r="U222">
        <f>IF(ChurnData[[#This Row],[churn]]="yes",1,0)</f>
        <v>0</v>
      </c>
    </row>
    <row r="223" spans="1:21" x14ac:dyDescent="0.3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  <c r="U223">
        <f>IF(ChurnData[[#This Row],[churn]]="yes",1,0)</f>
        <v>0</v>
      </c>
    </row>
    <row r="224" spans="1:21" x14ac:dyDescent="0.3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  <c r="U224">
        <f>IF(ChurnData[[#This Row],[churn]]="yes",1,0)</f>
        <v>0</v>
      </c>
    </row>
    <row r="225" spans="1:21" x14ac:dyDescent="0.3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  <c r="U225">
        <f>IF(ChurnData[[#This Row],[churn]]="yes",1,0)</f>
        <v>0</v>
      </c>
    </row>
    <row r="226" spans="1:21" x14ac:dyDescent="0.3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  <c r="U226">
        <f>IF(ChurnData[[#This Row],[churn]]="yes",1,0)</f>
        <v>0</v>
      </c>
    </row>
    <row r="227" spans="1:21" x14ac:dyDescent="0.3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  <c r="U227">
        <f>IF(ChurnData[[#This Row],[churn]]="yes",1,0)</f>
        <v>0</v>
      </c>
    </row>
    <row r="228" spans="1:21" x14ac:dyDescent="0.3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  <c r="U228">
        <f>IF(ChurnData[[#This Row],[churn]]="yes",1,0)</f>
        <v>0</v>
      </c>
    </row>
    <row r="229" spans="1:21" x14ac:dyDescent="0.3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  <c r="U229">
        <f>IF(ChurnData[[#This Row],[churn]]="yes",1,0)</f>
        <v>0</v>
      </c>
    </row>
    <row r="230" spans="1:21" x14ac:dyDescent="0.3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  <c r="U230">
        <f>IF(ChurnData[[#This Row],[churn]]="yes",1,0)</f>
        <v>0</v>
      </c>
    </row>
    <row r="231" spans="1:21" x14ac:dyDescent="0.3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  <c r="U231">
        <f>IF(ChurnData[[#This Row],[churn]]="yes",1,0)</f>
        <v>1</v>
      </c>
    </row>
    <row r="232" spans="1:21" x14ac:dyDescent="0.3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  <c r="U232">
        <f>IF(ChurnData[[#This Row],[churn]]="yes",1,0)</f>
        <v>0</v>
      </c>
    </row>
    <row r="233" spans="1:21" x14ac:dyDescent="0.3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  <c r="U233">
        <f>IF(ChurnData[[#This Row],[churn]]="yes",1,0)</f>
        <v>0</v>
      </c>
    </row>
    <row r="234" spans="1:21" x14ac:dyDescent="0.3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  <c r="U234">
        <f>IF(ChurnData[[#This Row],[churn]]="yes",1,0)</f>
        <v>0</v>
      </c>
    </row>
    <row r="235" spans="1:21" x14ac:dyDescent="0.3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  <c r="U235">
        <f>IF(ChurnData[[#This Row],[churn]]="yes",1,0)</f>
        <v>0</v>
      </c>
    </row>
    <row r="236" spans="1:21" x14ac:dyDescent="0.3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  <c r="U236">
        <f>IF(ChurnData[[#This Row],[churn]]="yes",1,0)</f>
        <v>0</v>
      </c>
    </row>
    <row r="237" spans="1:21" x14ac:dyDescent="0.3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  <c r="U237">
        <f>IF(ChurnData[[#This Row],[churn]]="yes",1,0)</f>
        <v>0</v>
      </c>
    </row>
    <row r="238" spans="1:21" x14ac:dyDescent="0.3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  <c r="U238">
        <f>IF(ChurnData[[#This Row],[churn]]="yes",1,0)</f>
        <v>0</v>
      </c>
    </row>
    <row r="239" spans="1:21" x14ac:dyDescent="0.3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  <c r="U239">
        <f>IF(ChurnData[[#This Row],[churn]]="yes",1,0)</f>
        <v>0</v>
      </c>
    </row>
    <row r="240" spans="1:21" x14ac:dyDescent="0.3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  <c r="U240">
        <f>IF(ChurnData[[#This Row],[churn]]="yes",1,0)</f>
        <v>0</v>
      </c>
    </row>
    <row r="241" spans="1:21" x14ac:dyDescent="0.3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  <c r="U241">
        <f>IF(ChurnData[[#This Row],[churn]]="yes",1,0)</f>
        <v>1</v>
      </c>
    </row>
    <row r="242" spans="1:21" x14ac:dyDescent="0.3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  <c r="U242">
        <f>IF(ChurnData[[#This Row],[churn]]="yes",1,0)</f>
        <v>0</v>
      </c>
    </row>
    <row r="243" spans="1:21" x14ac:dyDescent="0.3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  <c r="U243">
        <f>IF(ChurnData[[#This Row],[churn]]="yes",1,0)</f>
        <v>0</v>
      </c>
    </row>
    <row r="244" spans="1:21" x14ac:dyDescent="0.3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  <c r="U244">
        <f>IF(ChurnData[[#This Row],[churn]]="yes",1,0)</f>
        <v>0</v>
      </c>
    </row>
    <row r="245" spans="1:21" x14ac:dyDescent="0.3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  <c r="U245">
        <f>IF(ChurnData[[#This Row],[churn]]="yes",1,0)</f>
        <v>0</v>
      </c>
    </row>
    <row r="246" spans="1:21" x14ac:dyDescent="0.3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  <c r="U246">
        <f>IF(ChurnData[[#This Row],[churn]]="yes",1,0)</f>
        <v>0</v>
      </c>
    </row>
    <row r="247" spans="1:21" x14ac:dyDescent="0.3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  <c r="U247">
        <f>IF(ChurnData[[#This Row],[churn]]="yes",1,0)</f>
        <v>0</v>
      </c>
    </row>
    <row r="248" spans="1:21" x14ac:dyDescent="0.3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  <c r="U248">
        <f>IF(ChurnData[[#This Row],[churn]]="yes",1,0)</f>
        <v>0</v>
      </c>
    </row>
    <row r="249" spans="1:21" x14ac:dyDescent="0.3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  <c r="U249">
        <f>IF(ChurnData[[#This Row],[churn]]="yes",1,0)</f>
        <v>0</v>
      </c>
    </row>
    <row r="250" spans="1:21" x14ac:dyDescent="0.3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  <c r="U250">
        <f>IF(ChurnData[[#This Row],[churn]]="yes",1,0)</f>
        <v>0</v>
      </c>
    </row>
    <row r="251" spans="1:21" x14ac:dyDescent="0.3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  <c r="U251">
        <f>IF(ChurnData[[#This Row],[churn]]="yes",1,0)</f>
        <v>1</v>
      </c>
    </row>
    <row r="252" spans="1:21" x14ac:dyDescent="0.3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  <c r="U252">
        <f>IF(ChurnData[[#This Row],[churn]]="yes",1,0)</f>
        <v>0</v>
      </c>
    </row>
    <row r="253" spans="1:21" x14ac:dyDescent="0.3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  <c r="U253">
        <f>IF(ChurnData[[#This Row],[churn]]="yes",1,0)</f>
        <v>0</v>
      </c>
    </row>
    <row r="254" spans="1:21" x14ac:dyDescent="0.3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  <c r="U254">
        <f>IF(ChurnData[[#This Row],[churn]]="yes",1,0)</f>
        <v>0</v>
      </c>
    </row>
    <row r="255" spans="1:21" x14ac:dyDescent="0.3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  <c r="U255">
        <f>IF(ChurnData[[#This Row],[churn]]="yes",1,0)</f>
        <v>1</v>
      </c>
    </row>
    <row r="256" spans="1:21" x14ac:dyDescent="0.3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  <c r="U256">
        <f>IF(ChurnData[[#This Row],[churn]]="yes",1,0)</f>
        <v>1</v>
      </c>
    </row>
    <row r="257" spans="1:21" x14ac:dyDescent="0.3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  <c r="U257">
        <f>IF(ChurnData[[#This Row],[churn]]="yes",1,0)</f>
        <v>0</v>
      </c>
    </row>
    <row r="258" spans="1:21" x14ac:dyDescent="0.3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  <c r="U258">
        <f>IF(ChurnData[[#This Row],[churn]]="yes",1,0)</f>
        <v>0</v>
      </c>
    </row>
    <row r="259" spans="1:21" x14ac:dyDescent="0.3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  <c r="U259">
        <f>IF(ChurnData[[#This Row],[churn]]="yes",1,0)</f>
        <v>1</v>
      </c>
    </row>
    <row r="260" spans="1:21" x14ac:dyDescent="0.3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  <c r="U260">
        <f>IF(ChurnData[[#This Row],[churn]]="yes",1,0)</f>
        <v>0</v>
      </c>
    </row>
    <row r="261" spans="1:21" x14ac:dyDescent="0.3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  <c r="U261">
        <f>IF(ChurnData[[#This Row],[churn]]="yes",1,0)</f>
        <v>0</v>
      </c>
    </row>
    <row r="262" spans="1:21" x14ac:dyDescent="0.3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  <c r="U262">
        <f>IF(ChurnData[[#This Row],[churn]]="yes",1,0)</f>
        <v>0</v>
      </c>
    </row>
    <row r="263" spans="1:21" x14ac:dyDescent="0.3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  <c r="U263">
        <f>IF(ChurnData[[#This Row],[churn]]="yes",1,0)</f>
        <v>0</v>
      </c>
    </row>
    <row r="264" spans="1:21" x14ac:dyDescent="0.3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  <c r="U264">
        <f>IF(ChurnData[[#This Row],[churn]]="yes",1,0)</f>
        <v>0</v>
      </c>
    </row>
    <row r="265" spans="1:21" x14ac:dyDescent="0.3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  <c r="U265">
        <f>IF(ChurnData[[#This Row],[churn]]="yes",1,0)</f>
        <v>0</v>
      </c>
    </row>
    <row r="266" spans="1:21" x14ac:dyDescent="0.3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  <c r="U266">
        <f>IF(ChurnData[[#This Row],[churn]]="yes",1,0)</f>
        <v>0</v>
      </c>
    </row>
    <row r="267" spans="1:21" x14ac:dyDescent="0.3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  <c r="U267">
        <f>IF(ChurnData[[#This Row],[churn]]="yes",1,0)</f>
        <v>0</v>
      </c>
    </row>
    <row r="268" spans="1:21" x14ac:dyDescent="0.3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  <c r="U268">
        <f>IF(ChurnData[[#This Row],[churn]]="yes",1,0)</f>
        <v>0</v>
      </c>
    </row>
    <row r="269" spans="1:21" x14ac:dyDescent="0.3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  <c r="U269">
        <f>IF(ChurnData[[#This Row],[churn]]="yes",1,0)</f>
        <v>0</v>
      </c>
    </row>
    <row r="270" spans="1:21" x14ac:dyDescent="0.3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  <c r="U270">
        <f>IF(ChurnData[[#This Row],[churn]]="yes",1,0)</f>
        <v>0</v>
      </c>
    </row>
    <row r="271" spans="1:21" x14ac:dyDescent="0.3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  <c r="U271">
        <f>IF(ChurnData[[#This Row],[churn]]="yes",1,0)</f>
        <v>0</v>
      </c>
    </row>
    <row r="272" spans="1:21" x14ac:dyDescent="0.3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  <c r="U272">
        <f>IF(ChurnData[[#This Row],[churn]]="yes",1,0)</f>
        <v>0</v>
      </c>
    </row>
    <row r="273" spans="1:21" x14ac:dyDescent="0.3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  <c r="U273">
        <f>IF(ChurnData[[#This Row],[churn]]="yes",1,0)</f>
        <v>0</v>
      </c>
    </row>
    <row r="274" spans="1:21" x14ac:dyDescent="0.3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  <c r="U274">
        <f>IF(ChurnData[[#This Row],[churn]]="yes",1,0)</f>
        <v>0</v>
      </c>
    </row>
    <row r="275" spans="1:21" x14ac:dyDescent="0.3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  <c r="U275">
        <f>IF(ChurnData[[#This Row],[churn]]="yes",1,0)</f>
        <v>0</v>
      </c>
    </row>
    <row r="276" spans="1:21" x14ac:dyDescent="0.3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  <c r="U276">
        <f>IF(ChurnData[[#This Row],[churn]]="yes",1,0)</f>
        <v>0</v>
      </c>
    </row>
    <row r="277" spans="1:21" x14ac:dyDescent="0.3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  <c r="U277">
        <f>IF(ChurnData[[#This Row],[churn]]="yes",1,0)</f>
        <v>0</v>
      </c>
    </row>
    <row r="278" spans="1:21" x14ac:dyDescent="0.3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  <c r="U278">
        <f>IF(ChurnData[[#This Row],[churn]]="yes",1,0)</f>
        <v>1</v>
      </c>
    </row>
    <row r="279" spans="1:21" x14ac:dyDescent="0.3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  <c r="U279">
        <f>IF(ChurnData[[#This Row],[churn]]="yes",1,0)</f>
        <v>1</v>
      </c>
    </row>
    <row r="280" spans="1:21" x14ac:dyDescent="0.3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  <c r="U280">
        <f>IF(ChurnData[[#This Row],[churn]]="yes",1,0)</f>
        <v>0</v>
      </c>
    </row>
    <row r="281" spans="1:21" x14ac:dyDescent="0.3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  <c r="U281">
        <f>IF(ChurnData[[#This Row],[churn]]="yes",1,0)</f>
        <v>0</v>
      </c>
    </row>
    <row r="282" spans="1:21" x14ac:dyDescent="0.3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  <c r="U282">
        <f>IF(ChurnData[[#This Row],[churn]]="yes",1,0)</f>
        <v>0</v>
      </c>
    </row>
    <row r="283" spans="1:21" x14ac:dyDescent="0.3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  <c r="U283">
        <f>IF(ChurnData[[#This Row],[churn]]="yes",1,0)</f>
        <v>0</v>
      </c>
    </row>
    <row r="284" spans="1:21" x14ac:dyDescent="0.3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  <c r="U284">
        <f>IF(ChurnData[[#This Row],[churn]]="yes",1,0)</f>
        <v>0</v>
      </c>
    </row>
    <row r="285" spans="1:21" x14ac:dyDescent="0.3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  <c r="U285">
        <f>IF(ChurnData[[#This Row],[churn]]="yes",1,0)</f>
        <v>1</v>
      </c>
    </row>
    <row r="286" spans="1:21" x14ac:dyDescent="0.3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  <c r="U286">
        <f>IF(ChurnData[[#This Row],[churn]]="yes",1,0)</f>
        <v>0</v>
      </c>
    </row>
    <row r="287" spans="1:21" x14ac:dyDescent="0.3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  <c r="U287">
        <f>IF(ChurnData[[#This Row],[churn]]="yes",1,0)</f>
        <v>0</v>
      </c>
    </row>
    <row r="288" spans="1:21" x14ac:dyDescent="0.3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  <c r="U288">
        <f>IF(ChurnData[[#This Row],[churn]]="yes",1,0)</f>
        <v>0</v>
      </c>
    </row>
    <row r="289" spans="1:21" x14ac:dyDescent="0.3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  <c r="U289">
        <f>IF(ChurnData[[#This Row],[churn]]="yes",1,0)</f>
        <v>0</v>
      </c>
    </row>
    <row r="290" spans="1:21" x14ac:dyDescent="0.3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  <c r="U290">
        <f>IF(ChurnData[[#This Row],[churn]]="yes",1,0)</f>
        <v>0</v>
      </c>
    </row>
    <row r="291" spans="1:21" x14ac:dyDescent="0.3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  <c r="U291">
        <f>IF(ChurnData[[#This Row],[churn]]="yes",1,0)</f>
        <v>0</v>
      </c>
    </row>
    <row r="292" spans="1:21" x14ac:dyDescent="0.3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  <c r="U292">
        <f>IF(ChurnData[[#This Row],[churn]]="yes",1,0)</f>
        <v>0</v>
      </c>
    </row>
    <row r="293" spans="1:21" x14ac:dyDescent="0.3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  <c r="U293">
        <f>IF(ChurnData[[#This Row],[churn]]="yes",1,0)</f>
        <v>0</v>
      </c>
    </row>
    <row r="294" spans="1:21" x14ac:dyDescent="0.3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  <c r="U294">
        <f>IF(ChurnData[[#This Row],[churn]]="yes",1,0)</f>
        <v>0</v>
      </c>
    </row>
    <row r="295" spans="1:21" x14ac:dyDescent="0.3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  <c r="U295">
        <f>IF(ChurnData[[#This Row],[churn]]="yes",1,0)</f>
        <v>0</v>
      </c>
    </row>
    <row r="296" spans="1:21" x14ac:dyDescent="0.3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  <c r="U296">
        <f>IF(ChurnData[[#This Row],[churn]]="yes",1,0)</f>
        <v>0</v>
      </c>
    </row>
    <row r="297" spans="1:21" x14ac:dyDescent="0.3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  <c r="U297">
        <f>IF(ChurnData[[#This Row],[churn]]="yes",1,0)</f>
        <v>1</v>
      </c>
    </row>
    <row r="298" spans="1:21" x14ac:dyDescent="0.3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  <c r="U298">
        <f>IF(ChurnData[[#This Row],[churn]]="yes",1,0)</f>
        <v>0</v>
      </c>
    </row>
    <row r="299" spans="1:21" x14ac:dyDescent="0.3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  <c r="U299">
        <f>IF(ChurnData[[#This Row],[churn]]="yes",1,0)</f>
        <v>0</v>
      </c>
    </row>
    <row r="300" spans="1:21" x14ac:dyDescent="0.3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  <c r="U300">
        <f>IF(ChurnData[[#This Row],[churn]]="yes",1,0)</f>
        <v>1</v>
      </c>
    </row>
    <row r="301" spans="1:21" x14ac:dyDescent="0.3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  <c r="U301">
        <f>IF(ChurnData[[#This Row],[churn]]="yes",1,0)</f>
        <v>0</v>
      </c>
    </row>
    <row r="302" spans="1:21" x14ac:dyDescent="0.3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  <c r="U302">
        <f>IF(ChurnData[[#This Row],[churn]]="yes",1,0)</f>
        <v>0</v>
      </c>
    </row>
    <row r="303" spans="1:21" x14ac:dyDescent="0.3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  <c r="U303">
        <f>IF(ChurnData[[#This Row],[churn]]="yes",1,0)</f>
        <v>0</v>
      </c>
    </row>
    <row r="304" spans="1:21" x14ac:dyDescent="0.3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  <c r="U304">
        <f>IF(ChurnData[[#This Row],[churn]]="yes",1,0)</f>
        <v>0</v>
      </c>
    </row>
    <row r="305" spans="1:21" x14ac:dyDescent="0.3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  <c r="U305">
        <f>IF(ChurnData[[#This Row],[churn]]="yes",1,0)</f>
        <v>0</v>
      </c>
    </row>
    <row r="306" spans="1:21" x14ac:dyDescent="0.3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  <c r="U306">
        <f>IF(ChurnData[[#This Row],[churn]]="yes",1,0)</f>
        <v>0</v>
      </c>
    </row>
    <row r="307" spans="1:21" x14ac:dyDescent="0.3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  <c r="U307">
        <f>IF(ChurnData[[#This Row],[churn]]="yes",1,0)</f>
        <v>0</v>
      </c>
    </row>
    <row r="308" spans="1:21" x14ac:dyDescent="0.3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  <c r="U308">
        <f>IF(ChurnData[[#This Row],[churn]]="yes",1,0)</f>
        <v>0</v>
      </c>
    </row>
    <row r="309" spans="1:21" x14ac:dyDescent="0.3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  <c r="U309">
        <f>IF(ChurnData[[#This Row],[churn]]="yes",1,0)</f>
        <v>0</v>
      </c>
    </row>
    <row r="310" spans="1:21" x14ac:dyDescent="0.3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  <c r="U310">
        <f>IF(ChurnData[[#This Row],[churn]]="yes",1,0)</f>
        <v>1</v>
      </c>
    </row>
    <row r="311" spans="1:21" x14ac:dyDescent="0.3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  <c r="U311">
        <f>IF(ChurnData[[#This Row],[churn]]="yes",1,0)</f>
        <v>0</v>
      </c>
    </row>
    <row r="312" spans="1:21" x14ac:dyDescent="0.3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  <c r="U312">
        <f>IF(ChurnData[[#This Row],[churn]]="yes",1,0)</f>
        <v>0</v>
      </c>
    </row>
    <row r="313" spans="1:21" x14ac:dyDescent="0.3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  <c r="U313">
        <f>IF(ChurnData[[#This Row],[churn]]="yes",1,0)</f>
        <v>0</v>
      </c>
    </row>
    <row r="314" spans="1:21" x14ac:dyDescent="0.3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  <c r="U314">
        <f>IF(ChurnData[[#This Row],[churn]]="yes",1,0)</f>
        <v>0</v>
      </c>
    </row>
    <row r="315" spans="1:21" x14ac:dyDescent="0.3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  <c r="U315">
        <f>IF(ChurnData[[#This Row],[churn]]="yes",1,0)</f>
        <v>1</v>
      </c>
    </row>
    <row r="316" spans="1:21" x14ac:dyDescent="0.3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  <c r="U316">
        <f>IF(ChurnData[[#This Row],[churn]]="yes",1,0)</f>
        <v>0</v>
      </c>
    </row>
    <row r="317" spans="1:21" x14ac:dyDescent="0.3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  <c r="U317">
        <f>IF(ChurnData[[#This Row],[churn]]="yes",1,0)</f>
        <v>0</v>
      </c>
    </row>
    <row r="318" spans="1:21" x14ac:dyDescent="0.3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  <c r="U318">
        <f>IF(ChurnData[[#This Row],[churn]]="yes",1,0)</f>
        <v>0</v>
      </c>
    </row>
    <row r="319" spans="1:21" x14ac:dyDescent="0.3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  <c r="U319">
        <f>IF(ChurnData[[#This Row],[churn]]="yes",1,0)</f>
        <v>0</v>
      </c>
    </row>
    <row r="320" spans="1:21" x14ac:dyDescent="0.3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  <c r="U320">
        <f>IF(ChurnData[[#This Row],[churn]]="yes",1,0)</f>
        <v>0</v>
      </c>
    </row>
    <row r="321" spans="1:21" x14ac:dyDescent="0.3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  <c r="U321">
        <f>IF(ChurnData[[#This Row],[churn]]="yes",1,0)</f>
        <v>0</v>
      </c>
    </row>
    <row r="322" spans="1:21" x14ac:dyDescent="0.3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  <c r="U322">
        <f>IF(ChurnData[[#This Row],[churn]]="yes",1,0)</f>
        <v>0</v>
      </c>
    </row>
    <row r="323" spans="1:21" x14ac:dyDescent="0.3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  <c r="U323">
        <f>IF(ChurnData[[#This Row],[churn]]="yes",1,0)</f>
        <v>0</v>
      </c>
    </row>
    <row r="324" spans="1:21" x14ac:dyDescent="0.3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  <c r="U324">
        <f>IF(ChurnData[[#This Row],[churn]]="yes",1,0)</f>
        <v>0</v>
      </c>
    </row>
    <row r="325" spans="1:21" x14ac:dyDescent="0.3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  <c r="U325">
        <f>IF(ChurnData[[#This Row],[churn]]="yes",1,0)</f>
        <v>0</v>
      </c>
    </row>
    <row r="326" spans="1:21" x14ac:dyDescent="0.3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  <c r="U326">
        <f>IF(ChurnData[[#This Row],[churn]]="yes",1,0)</f>
        <v>0</v>
      </c>
    </row>
    <row r="327" spans="1:21" x14ac:dyDescent="0.3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  <c r="U327">
        <f>IF(ChurnData[[#This Row],[churn]]="yes",1,0)</f>
        <v>0</v>
      </c>
    </row>
    <row r="328" spans="1:21" x14ac:dyDescent="0.3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  <c r="U328">
        <f>IF(ChurnData[[#This Row],[churn]]="yes",1,0)</f>
        <v>0</v>
      </c>
    </row>
    <row r="329" spans="1:21" x14ac:dyDescent="0.3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  <c r="U329">
        <f>IF(ChurnData[[#This Row],[churn]]="yes",1,0)</f>
        <v>1</v>
      </c>
    </row>
    <row r="330" spans="1:21" x14ac:dyDescent="0.3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  <c r="U330">
        <f>IF(ChurnData[[#This Row],[churn]]="yes",1,0)</f>
        <v>0</v>
      </c>
    </row>
    <row r="331" spans="1:21" x14ac:dyDescent="0.3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  <c r="U331">
        <f>IF(ChurnData[[#This Row],[churn]]="yes",1,0)</f>
        <v>0</v>
      </c>
    </row>
    <row r="332" spans="1:21" x14ac:dyDescent="0.3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  <c r="U332">
        <f>IF(ChurnData[[#This Row],[churn]]="yes",1,0)</f>
        <v>1</v>
      </c>
    </row>
    <row r="333" spans="1:21" x14ac:dyDescent="0.3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  <c r="U333">
        <f>IF(ChurnData[[#This Row],[churn]]="yes",1,0)</f>
        <v>0</v>
      </c>
    </row>
    <row r="334" spans="1:21" x14ac:dyDescent="0.3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  <c r="U334">
        <f>IF(ChurnData[[#This Row],[churn]]="yes",1,0)</f>
        <v>0</v>
      </c>
    </row>
    <row r="335" spans="1:21" x14ac:dyDescent="0.3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  <c r="U335">
        <f>IF(ChurnData[[#This Row],[churn]]="yes",1,0)</f>
        <v>0</v>
      </c>
    </row>
    <row r="336" spans="1:21" x14ac:dyDescent="0.3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  <c r="U336">
        <f>IF(ChurnData[[#This Row],[churn]]="yes",1,0)</f>
        <v>0</v>
      </c>
    </row>
    <row r="337" spans="1:21" x14ac:dyDescent="0.3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  <c r="U337">
        <f>IF(ChurnData[[#This Row],[churn]]="yes",1,0)</f>
        <v>0</v>
      </c>
    </row>
    <row r="338" spans="1:21" x14ac:dyDescent="0.3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  <c r="U338">
        <f>IF(ChurnData[[#This Row],[churn]]="yes",1,0)</f>
        <v>1</v>
      </c>
    </row>
    <row r="339" spans="1:21" x14ac:dyDescent="0.3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  <c r="U339">
        <f>IF(ChurnData[[#This Row],[churn]]="yes",1,0)</f>
        <v>0</v>
      </c>
    </row>
    <row r="340" spans="1:21" x14ac:dyDescent="0.3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  <c r="U340">
        <f>IF(ChurnData[[#This Row],[churn]]="yes",1,0)</f>
        <v>0</v>
      </c>
    </row>
    <row r="341" spans="1:21" x14ac:dyDescent="0.3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  <c r="U341">
        <f>IF(ChurnData[[#This Row],[churn]]="yes",1,0)</f>
        <v>0</v>
      </c>
    </row>
    <row r="342" spans="1:21" x14ac:dyDescent="0.3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  <c r="U342">
        <f>IF(ChurnData[[#This Row],[churn]]="yes",1,0)</f>
        <v>0</v>
      </c>
    </row>
    <row r="343" spans="1:21" x14ac:dyDescent="0.3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  <c r="U343">
        <f>IF(ChurnData[[#This Row],[churn]]="yes",1,0)</f>
        <v>0</v>
      </c>
    </row>
    <row r="344" spans="1:21" x14ac:dyDescent="0.3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  <c r="U344">
        <f>IF(ChurnData[[#This Row],[churn]]="yes",1,0)</f>
        <v>0</v>
      </c>
    </row>
    <row r="345" spans="1:21" x14ac:dyDescent="0.3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  <c r="U345">
        <f>IF(ChurnData[[#This Row],[churn]]="yes",1,0)</f>
        <v>1</v>
      </c>
    </row>
    <row r="346" spans="1:21" x14ac:dyDescent="0.3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  <c r="U346">
        <f>IF(ChurnData[[#This Row],[churn]]="yes",1,0)</f>
        <v>0</v>
      </c>
    </row>
    <row r="347" spans="1:21" x14ac:dyDescent="0.3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  <c r="U347">
        <f>IF(ChurnData[[#This Row],[churn]]="yes",1,0)</f>
        <v>0</v>
      </c>
    </row>
    <row r="348" spans="1:21" x14ac:dyDescent="0.3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  <c r="U348">
        <f>IF(ChurnData[[#This Row],[churn]]="yes",1,0)</f>
        <v>0</v>
      </c>
    </row>
    <row r="349" spans="1:21" x14ac:dyDescent="0.3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  <c r="U349">
        <f>IF(ChurnData[[#This Row],[churn]]="yes",1,0)</f>
        <v>0</v>
      </c>
    </row>
    <row r="350" spans="1:21" x14ac:dyDescent="0.3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  <c r="U350">
        <f>IF(ChurnData[[#This Row],[churn]]="yes",1,0)</f>
        <v>0</v>
      </c>
    </row>
    <row r="351" spans="1:21" x14ac:dyDescent="0.3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  <c r="U351">
        <f>IF(ChurnData[[#This Row],[churn]]="yes",1,0)</f>
        <v>0</v>
      </c>
    </row>
    <row r="352" spans="1:21" x14ac:dyDescent="0.3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  <c r="U352">
        <f>IF(ChurnData[[#This Row],[churn]]="yes",1,0)</f>
        <v>0</v>
      </c>
    </row>
    <row r="353" spans="1:21" x14ac:dyDescent="0.3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  <c r="U353">
        <f>IF(ChurnData[[#This Row],[churn]]="yes",1,0)</f>
        <v>0</v>
      </c>
    </row>
    <row r="354" spans="1:21" x14ac:dyDescent="0.3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  <c r="U354">
        <f>IF(ChurnData[[#This Row],[churn]]="yes",1,0)</f>
        <v>0</v>
      </c>
    </row>
    <row r="355" spans="1:21" x14ac:dyDescent="0.3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  <c r="U355">
        <f>IF(ChurnData[[#This Row],[churn]]="yes",1,0)</f>
        <v>0</v>
      </c>
    </row>
    <row r="356" spans="1:21" x14ac:dyDescent="0.3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  <c r="U356">
        <f>IF(ChurnData[[#This Row],[churn]]="yes",1,0)</f>
        <v>0</v>
      </c>
    </row>
    <row r="357" spans="1:21" x14ac:dyDescent="0.3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  <c r="U357">
        <f>IF(ChurnData[[#This Row],[churn]]="yes",1,0)</f>
        <v>0</v>
      </c>
    </row>
    <row r="358" spans="1:21" x14ac:dyDescent="0.3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  <c r="U358">
        <f>IF(ChurnData[[#This Row],[churn]]="yes",1,0)</f>
        <v>0</v>
      </c>
    </row>
    <row r="359" spans="1:21" x14ac:dyDescent="0.3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  <c r="U359">
        <f>IF(ChurnData[[#This Row],[churn]]="yes",1,0)</f>
        <v>1</v>
      </c>
    </row>
    <row r="360" spans="1:21" x14ac:dyDescent="0.3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  <c r="U360">
        <f>IF(ChurnData[[#This Row],[churn]]="yes",1,0)</f>
        <v>0</v>
      </c>
    </row>
    <row r="361" spans="1:21" x14ac:dyDescent="0.3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  <c r="U361">
        <f>IF(ChurnData[[#This Row],[churn]]="yes",1,0)</f>
        <v>0</v>
      </c>
    </row>
    <row r="362" spans="1:21" x14ac:dyDescent="0.3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  <c r="U362">
        <f>IF(ChurnData[[#This Row],[churn]]="yes",1,0)</f>
        <v>0</v>
      </c>
    </row>
    <row r="363" spans="1:21" x14ac:dyDescent="0.3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  <c r="U363">
        <f>IF(ChurnData[[#This Row],[churn]]="yes",1,0)</f>
        <v>0</v>
      </c>
    </row>
    <row r="364" spans="1:21" x14ac:dyDescent="0.3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  <c r="U364">
        <f>IF(ChurnData[[#This Row],[churn]]="yes",1,0)</f>
        <v>0</v>
      </c>
    </row>
    <row r="365" spans="1:21" x14ac:dyDescent="0.3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  <c r="U365">
        <f>IF(ChurnData[[#This Row],[churn]]="yes",1,0)</f>
        <v>1</v>
      </c>
    </row>
    <row r="366" spans="1:21" x14ac:dyDescent="0.3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  <c r="U366">
        <f>IF(ChurnData[[#This Row],[churn]]="yes",1,0)</f>
        <v>0</v>
      </c>
    </row>
    <row r="367" spans="1:21" x14ac:dyDescent="0.3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  <c r="U367">
        <f>IF(ChurnData[[#This Row],[churn]]="yes",1,0)</f>
        <v>0</v>
      </c>
    </row>
    <row r="368" spans="1:21" x14ac:dyDescent="0.3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  <c r="U368">
        <f>IF(ChurnData[[#This Row],[churn]]="yes",1,0)</f>
        <v>0</v>
      </c>
    </row>
    <row r="369" spans="1:21" x14ac:dyDescent="0.3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  <c r="U369">
        <f>IF(ChurnData[[#This Row],[churn]]="yes",1,0)</f>
        <v>0</v>
      </c>
    </row>
    <row r="370" spans="1:21" x14ac:dyDescent="0.3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  <c r="U370">
        <f>IF(ChurnData[[#This Row],[churn]]="yes",1,0)</f>
        <v>0</v>
      </c>
    </row>
    <row r="371" spans="1:21" x14ac:dyDescent="0.3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  <c r="U371">
        <f>IF(ChurnData[[#This Row],[churn]]="yes",1,0)</f>
        <v>0</v>
      </c>
    </row>
    <row r="372" spans="1:21" x14ac:dyDescent="0.3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  <c r="U372">
        <f>IF(ChurnData[[#This Row],[churn]]="yes",1,0)</f>
        <v>0</v>
      </c>
    </row>
    <row r="373" spans="1:21" x14ac:dyDescent="0.3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  <c r="U373">
        <f>IF(ChurnData[[#This Row],[churn]]="yes",1,0)</f>
        <v>0</v>
      </c>
    </row>
    <row r="374" spans="1:21" x14ac:dyDescent="0.3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  <c r="U374">
        <f>IF(ChurnData[[#This Row],[churn]]="yes",1,0)</f>
        <v>0</v>
      </c>
    </row>
    <row r="375" spans="1:21" x14ac:dyDescent="0.3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  <c r="U375">
        <f>IF(ChurnData[[#This Row],[churn]]="yes",1,0)</f>
        <v>0</v>
      </c>
    </row>
    <row r="376" spans="1:21" x14ac:dyDescent="0.3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  <c r="U376">
        <f>IF(ChurnData[[#This Row],[churn]]="yes",1,0)</f>
        <v>0</v>
      </c>
    </row>
    <row r="377" spans="1:21" x14ac:dyDescent="0.3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  <c r="U377">
        <f>IF(ChurnData[[#This Row],[churn]]="yes",1,0)</f>
        <v>0</v>
      </c>
    </row>
    <row r="378" spans="1:21" x14ac:dyDescent="0.3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  <c r="U378">
        <f>IF(ChurnData[[#This Row],[churn]]="yes",1,0)</f>
        <v>0</v>
      </c>
    </row>
    <row r="379" spans="1:21" x14ac:dyDescent="0.3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  <c r="U379">
        <f>IF(ChurnData[[#This Row],[churn]]="yes",1,0)</f>
        <v>1</v>
      </c>
    </row>
    <row r="380" spans="1:21" x14ac:dyDescent="0.3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  <c r="U380">
        <f>IF(ChurnData[[#This Row],[churn]]="yes",1,0)</f>
        <v>1</v>
      </c>
    </row>
    <row r="381" spans="1:21" x14ac:dyDescent="0.3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  <c r="U381">
        <f>IF(ChurnData[[#This Row],[churn]]="yes",1,0)</f>
        <v>0</v>
      </c>
    </row>
    <row r="382" spans="1:21" x14ac:dyDescent="0.3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  <c r="U382">
        <f>IF(ChurnData[[#This Row],[churn]]="yes",1,0)</f>
        <v>0</v>
      </c>
    </row>
    <row r="383" spans="1:21" x14ac:dyDescent="0.3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  <c r="U383">
        <f>IF(ChurnData[[#This Row],[churn]]="yes",1,0)</f>
        <v>0</v>
      </c>
    </row>
    <row r="384" spans="1:21" x14ac:dyDescent="0.3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  <c r="U384">
        <f>IF(ChurnData[[#This Row],[churn]]="yes",1,0)</f>
        <v>0</v>
      </c>
    </row>
    <row r="385" spans="1:21" x14ac:dyDescent="0.3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  <c r="U385">
        <f>IF(ChurnData[[#This Row],[churn]]="yes",1,0)</f>
        <v>0</v>
      </c>
    </row>
    <row r="386" spans="1:21" x14ac:dyDescent="0.3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  <c r="U386">
        <f>IF(ChurnData[[#This Row],[churn]]="yes",1,0)</f>
        <v>0</v>
      </c>
    </row>
    <row r="387" spans="1:21" x14ac:dyDescent="0.3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  <c r="U387">
        <f>IF(ChurnData[[#This Row],[churn]]="yes",1,0)</f>
        <v>0</v>
      </c>
    </row>
    <row r="388" spans="1:21" x14ac:dyDescent="0.3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  <c r="U388">
        <f>IF(ChurnData[[#This Row],[churn]]="yes",1,0)</f>
        <v>1</v>
      </c>
    </row>
    <row r="389" spans="1:21" x14ac:dyDescent="0.3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  <c r="U389">
        <f>IF(ChurnData[[#This Row],[churn]]="yes",1,0)</f>
        <v>1</v>
      </c>
    </row>
    <row r="390" spans="1:21" x14ac:dyDescent="0.3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  <c r="U390">
        <f>IF(ChurnData[[#This Row],[churn]]="yes",1,0)</f>
        <v>0</v>
      </c>
    </row>
    <row r="391" spans="1:21" x14ac:dyDescent="0.3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  <c r="U391">
        <f>IF(ChurnData[[#This Row],[churn]]="yes",1,0)</f>
        <v>0</v>
      </c>
    </row>
    <row r="392" spans="1:21" x14ac:dyDescent="0.3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  <c r="U392">
        <f>IF(ChurnData[[#This Row],[churn]]="yes",1,0)</f>
        <v>0</v>
      </c>
    </row>
    <row r="393" spans="1:21" x14ac:dyDescent="0.3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  <c r="U393">
        <f>IF(ChurnData[[#This Row],[churn]]="yes",1,0)</f>
        <v>0</v>
      </c>
    </row>
    <row r="394" spans="1:21" x14ac:dyDescent="0.3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  <c r="U394">
        <f>IF(ChurnData[[#This Row],[churn]]="yes",1,0)</f>
        <v>1</v>
      </c>
    </row>
    <row r="395" spans="1:21" x14ac:dyDescent="0.3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  <c r="U395">
        <f>IF(ChurnData[[#This Row],[churn]]="yes",1,0)</f>
        <v>0</v>
      </c>
    </row>
    <row r="396" spans="1:21" x14ac:dyDescent="0.3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  <c r="U396">
        <f>IF(ChurnData[[#This Row],[churn]]="yes",1,0)</f>
        <v>0</v>
      </c>
    </row>
    <row r="397" spans="1:21" x14ac:dyDescent="0.3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  <c r="U397">
        <f>IF(ChurnData[[#This Row],[churn]]="yes",1,0)</f>
        <v>0</v>
      </c>
    </row>
    <row r="398" spans="1:21" x14ac:dyDescent="0.3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  <c r="U398">
        <f>IF(ChurnData[[#This Row],[churn]]="yes",1,0)</f>
        <v>0</v>
      </c>
    </row>
    <row r="399" spans="1:21" x14ac:dyDescent="0.3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  <c r="U399">
        <f>IF(ChurnData[[#This Row],[churn]]="yes",1,0)</f>
        <v>0</v>
      </c>
    </row>
    <row r="400" spans="1:21" x14ac:dyDescent="0.3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  <c r="U400">
        <f>IF(ChurnData[[#This Row],[churn]]="yes",1,0)</f>
        <v>0</v>
      </c>
    </row>
    <row r="401" spans="1:21" x14ac:dyDescent="0.3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  <c r="U401">
        <f>IF(ChurnData[[#This Row],[churn]]="yes",1,0)</f>
        <v>0</v>
      </c>
    </row>
    <row r="402" spans="1:21" x14ac:dyDescent="0.3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  <c r="U402">
        <f>IF(ChurnData[[#This Row],[churn]]="yes",1,0)</f>
        <v>0</v>
      </c>
    </row>
    <row r="403" spans="1:21" x14ac:dyDescent="0.3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  <c r="U403">
        <f>IF(ChurnData[[#This Row],[churn]]="yes",1,0)</f>
        <v>0</v>
      </c>
    </row>
    <row r="404" spans="1:21" x14ac:dyDescent="0.3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  <c r="U404">
        <f>IF(ChurnData[[#This Row],[churn]]="yes",1,0)</f>
        <v>0</v>
      </c>
    </row>
    <row r="405" spans="1:21" x14ac:dyDescent="0.3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  <c r="U405">
        <f>IF(ChurnData[[#This Row],[churn]]="yes",1,0)</f>
        <v>0</v>
      </c>
    </row>
    <row r="406" spans="1:21" x14ac:dyDescent="0.3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  <c r="U406">
        <f>IF(ChurnData[[#This Row],[churn]]="yes",1,0)</f>
        <v>0</v>
      </c>
    </row>
    <row r="407" spans="1:21" x14ac:dyDescent="0.3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  <c r="U407">
        <f>IF(ChurnData[[#This Row],[churn]]="yes",1,0)</f>
        <v>0</v>
      </c>
    </row>
    <row r="408" spans="1:21" x14ac:dyDescent="0.3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  <c r="U408">
        <f>IF(ChurnData[[#This Row],[churn]]="yes",1,0)</f>
        <v>0</v>
      </c>
    </row>
    <row r="409" spans="1:21" x14ac:dyDescent="0.3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  <c r="U409">
        <f>IF(ChurnData[[#This Row],[churn]]="yes",1,0)</f>
        <v>1</v>
      </c>
    </row>
    <row r="410" spans="1:21" x14ac:dyDescent="0.3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  <c r="U410">
        <f>IF(ChurnData[[#This Row],[churn]]="yes",1,0)</f>
        <v>1</v>
      </c>
    </row>
    <row r="411" spans="1:21" x14ac:dyDescent="0.3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  <c r="U411">
        <f>IF(ChurnData[[#This Row],[churn]]="yes",1,0)</f>
        <v>0</v>
      </c>
    </row>
    <row r="412" spans="1:21" x14ac:dyDescent="0.3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  <c r="U412">
        <f>IF(ChurnData[[#This Row],[churn]]="yes",1,0)</f>
        <v>0</v>
      </c>
    </row>
    <row r="413" spans="1:21" x14ac:dyDescent="0.3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  <c r="U413">
        <f>IF(ChurnData[[#This Row],[churn]]="yes",1,0)</f>
        <v>0</v>
      </c>
    </row>
    <row r="414" spans="1:21" x14ac:dyDescent="0.3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  <c r="U414">
        <f>IF(ChurnData[[#This Row],[churn]]="yes",1,0)</f>
        <v>1</v>
      </c>
    </row>
    <row r="415" spans="1:21" x14ac:dyDescent="0.3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  <c r="U415">
        <f>IF(ChurnData[[#This Row],[churn]]="yes",1,0)</f>
        <v>0</v>
      </c>
    </row>
    <row r="416" spans="1:21" x14ac:dyDescent="0.3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  <c r="U416">
        <f>IF(ChurnData[[#This Row],[churn]]="yes",1,0)</f>
        <v>1</v>
      </c>
    </row>
    <row r="417" spans="1:21" x14ac:dyDescent="0.3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  <c r="U417">
        <f>IF(ChurnData[[#This Row],[churn]]="yes",1,0)</f>
        <v>0</v>
      </c>
    </row>
    <row r="418" spans="1:21" x14ac:dyDescent="0.3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  <c r="U418">
        <f>IF(ChurnData[[#This Row],[churn]]="yes",1,0)</f>
        <v>0</v>
      </c>
    </row>
    <row r="419" spans="1:21" x14ac:dyDescent="0.3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  <c r="U419">
        <f>IF(ChurnData[[#This Row],[churn]]="yes",1,0)</f>
        <v>0</v>
      </c>
    </row>
    <row r="420" spans="1:21" x14ac:dyDescent="0.3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  <c r="U420">
        <f>IF(ChurnData[[#This Row],[churn]]="yes",1,0)</f>
        <v>0</v>
      </c>
    </row>
    <row r="421" spans="1:21" x14ac:dyDescent="0.3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  <c r="U421">
        <f>IF(ChurnData[[#This Row],[churn]]="yes",1,0)</f>
        <v>1</v>
      </c>
    </row>
    <row r="422" spans="1:21" x14ac:dyDescent="0.3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  <c r="U422">
        <f>IF(ChurnData[[#This Row],[churn]]="yes",1,0)</f>
        <v>0</v>
      </c>
    </row>
    <row r="423" spans="1:21" x14ac:dyDescent="0.3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  <c r="U423">
        <f>IF(ChurnData[[#This Row],[churn]]="yes",1,0)</f>
        <v>1</v>
      </c>
    </row>
    <row r="424" spans="1:21" x14ac:dyDescent="0.3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  <c r="U424">
        <f>IF(ChurnData[[#This Row],[churn]]="yes",1,0)</f>
        <v>0</v>
      </c>
    </row>
    <row r="425" spans="1:21" x14ac:dyDescent="0.3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  <c r="U425">
        <f>IF(ChurnData[[#This Row],[churn]]="yes",1,0)</f>
        <v>0</v>
      </c>
    </row>
    <row r="426" spans="1:21" x14ac:dyDescent="0.3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  <c r="U426">
        <f>IF(ChurnData[[#This Row],[churn]]="yes",1,0)</f>
        <v>0</v>
      </c>
    </row>
    <row r="427" spans="1:21" x14ac:dyDescent="0.3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  <c r="U427">
        <f>IF(ChurnData[[#This Row],[churn]]="yes",1,0)</f>
        <v>0</v>
      </c>
    </row>
    <row r="428" spans="1:21" x14ac:dyDescent="0.3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  <c r="U428">
        <f>IF(ChurnData[[#This Row],[churn]]="yes",1,0)</f>
        <v>1</v>
      </c>
    </row>
    <row r="429" spans="1:21" x14ac:dyDescent="0.3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  <c r="U429">
        <f>IF(ChurnData[[#This Row],[churn]]="yes",1,0)</f>
        <v>0</v>
      </c>
    </row>
    <row r="430" spans="1:21" x14ac:dyDescent="0.3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  <c r="U430">
        <f>IF(ChurnData[[#This Row],[churn]]="yes",1,0)</f>
        <v>0</v>
      </c>
    </row>
    <row r="431" spans="1:21" x14ac:dyDescent="0.3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  <c r="U431">
        <f>IF(ChurnData[[#This Row],[churn]]="yes",1,0)</f>
        <v>0</v>
      </c>
    </row>
    <row r="432" spans="1:21" x14ac:dyDescent="0.3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  <c r="U432">
        <f>IF(ChurnData[[#This Row],[churn]]="yes",1,0)</f>
        <v>0</v>
      </c>
    </row>
    <row r="433" spans="1:21" x14ac:dyDescent="0.3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  <c r="U433">
        <f>IF(ChurnData[[#This Row],[churn]]="yes",1,0)</f>
        <v>0</v>
      </c>
    </row>
    <row r="434" spans="1:21" x14ac:dyDescent="0.3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  <c r="U434">
        <f>IF(ChurnData[[#This Row],[churn]]="yes",1,0)</f>
        <v>1</v>
      </c>
    </row>
    <row r="435" spans="1:21" x14ac:dyDescent="0.3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  <c r="U435">
        <f>IF(ChurnData[[#This Row],[churn]]="yes",1,0)</f>
        <v>0</v>
      </c>
    </row>
    <row r="436" spans="1:21" x14ac:dyDescent="0.3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  <c r="U436">
        <f>IF(ChurnData[[#This Row],[churn]]="yes",1,0)</f>
        <v>0</v>
      </c>
    </row>
    <row r="437" spans="1:21" x14ac:dyDescent="0.3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  <c r="U437">
        <f>IF(ChurnData[[#This Row],[churn]]="yes",1,0)</f>
        <v>0</v>
      </c>
    </row>
    <row r="438" spans="1:21" x14ac:dyDescent="0.3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  <c r="U438">
        <f>IF(ChurnData[[#This Row],[churn]]="yes",1,0)</f>
        <v>0</v>
      </c>
    </row>
    <row r="439" spans="1:21" x14ac:dyDescent="0.3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  <c r="U439">
        <f>IF(ChurnData[[#This Row],[churn]]="yes",1,0)</f>
        <v>0</v>
      </c>
    </row>
    <row r="440" spans="1:21" x14ac:dyDescent="0.3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  <c r="U440">
        <f>IF(ChurnData[[#This Row],[churn]]="yes",1,0)</f>
        <v>0</v>
      </c>
    </row>
    <row r="441" spans="1:21" x14ac:dyDescent="0.3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  <c r="U441">
        <f>IF(ChurnData[[#This Row],[churn]]="yes",1,0)</f>
        <v>0</v>
      </c>
    </row>
    <row r="442" spans="1:21" x14ac:dyDescent="0.3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  <c r="U442">
        <f>IF(ChurnData[[#This Row],[churn]]="yes",1,0)</f>
        <v>0</v>
      </c>
    </row>
    <row r="443" spans="1:21" x14ac:dyDescent="0.3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  <c r="U443">
        <f>IF(ChurnData[[#This Row],[churn]]="yes",1,0)</f>
        <v>0</v>
      </c>
    </row>
    <row r="444" spans="1:21" x14ac:dyDescent="0.3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  <c r="U444">
        <f>IF(ChurnData[[#This Row],[churn]]="yes",1,0)</f>
        <v>0</v>
      </c>
    </row>
    <row r="445" spans="1:21" x14ac:dyDescent="0.3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  <c r="U445">
        <f>IF(ChurnData[[#This Row],[churn]]="yes",1,0)</f>
        <v>0</v>
      </c>
    </row>
    <row r="446" spans="1:21" x14ac:dyDescent="0.3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  <c r="U446">
        <f>IF(ChurnData[[#This Row],[churn]]="yes",1,0)</f>
        <v>0</v>
      </c>
    </row>
    <row r="447" spans="1:21" x14ac:dyDescent="0.3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  <c r="U447">
        <f>IF(ChurnData[[#This Row],[churn]]="yes",1,0)</f>
        <v>0</v>
      </c>
    </row>
    <row r="448" spans="1:21" x14ac:dyDescent="0.3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  <c r="U448">
        <f>IF(ChurnData[[#This Row],[churn]]="yes",1,0)</f>
        <v>0</v>
      </c>
    </row>
    <row r="449" spans="1:21" x14ac:dyDescent="0.3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  <c r="U449">
        <f>IF(ChurnData[[#This Row],[churn]]="yes",1,0)</f>
        <v>0</v>
      </c>
    </row>
    <row r="450" spans="1:21" x14ac:dyDescent="0.3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  <c r="U450">
        <f>IF(ChurnData[[#This Row],[churn]]="yes",1,0)</f>
        <v>0</v>
      </c>
    </row>
    <row r="451" spans="1:21" x14ac:dyDescent="0.3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  <c r="U451">
        <f>IF(ChurnData[[#This Row],[churn]]="yes",1,0)</f>
        <v>1</v>
      </c>
    </row>
    <row r="452" spans="1:21" x14ac:dyDescent="0.3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  <c r="U452">
        <f>IF(ChurnData[[#This Row],[churn]]="yes",1,0)</f>
        <v>0</v>
      </c>
    </row>
    <row r="453" spans="1:21" x14ac:dyDescent="0.3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  <c r="U453">
        <f>IF(ChurnData[[#This Row],[churn]]="yes",1,0)</f>
        <v>0</v>
      </c>
    </row>
    <row r="454" spans="1:21" x14ac:dyDescent="0.3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  <c r="U454">
        <f>IF(ChurnData[[#This Row],[churn]]="yes",1,0)</f>
        <v>0</v>
      </c>
    </row>
    <row r="455" spans="1:21" x14ac:dyDescent="0.3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  <c r="U455">
        <f>IF(ChurnData[[#This Row],[churn]]="yes",1,0)</f>
        <v>1</v>
      </c>
    </row>
    <row r="456" spans="1:21" x14ac:dyDescent="0.3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  <c r="U456">
        <f>IF(ChurnData[[#This Row],[churn]]="yes",1,0)</f>
        <v>1</v>
      </c>
    </row>
    <row r="457" spans="1:21" x14ac:dyDescent="0.3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  <c r="U457">
        <f>IF(ChurnData[[#This Row],[churn]]="yes",1,0)</f>
        <v>0</v>
      </c>
    </row>
    <row r="458" spans="1:21" x14ac:dyDescent="0.3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  <c r="U458">
        <f>IF(ChurnData[[#This Row],[churn]]="yes",1,0)</f>
        <v>0</v>
      </c>
    </row>
    <row r="459" spans="1:21" x14ac:dyDescent="0.3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  <c r="U459">
        <f>IF(ChurnData[[#This Row],[churn]]="yes",1,0)</f>
        <v>1</v>
      </c>
    </row>
    <row r="460" spans="1:21" x14ac:dyDescent="0.3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  <c r="U460">
        <f>IF(ChurnData[[#This Row],[churn]]="yes",1,0)</f>
        <v>0</v>
      </c>
    </row>
    <row r="461" spans="1:21" x14ac:dyDescent="0.3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  <c r="U461">
        <f>IF(ChurnData[[#This Row],[churn]]="yes",1,0)</f>
        <v>0</v>
      </c>
    </row>
    <row r="462" spans="1:21" x14ac:dyDescent="0.3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  <c r="U462">
        <f>IF(ChurnData[[#This Row],[churn]]="yes",1,0)</f>
        <v>1</v>
      </c>
    </row>
    <row r="463" spans="1:21" x14ac:dyDescent="0.3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  <c r="U463">
        <f>IF(ChurnData[[#This Row],[churn]]="yes",1,0)</f>
        <v>0</v>
      </c>
    </row>
    <row r="464" spans="1:21" x14ac:dyDescent="0.3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  <c r="U464">
        <f>IF(ChurnData[[#This Row],[churn]]="yes",1,0)</f>
        <v>0</v>
      </c>
    </row>
    <row r="465" spans="1:21" x14ac:dyDescent="0.3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  <c r="U465">
        <f>IF(ChurnData[[#This Row],[churn]]="yes",1,0)</f>
        <v>0</v>
      </c>
    </row>
    <row r="466" spans="1:21" x14ac:dyDescent="0.3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  <c r="U466">
        <f>IF(ChurnData[[#This Row],[churn]]="yes",1,0)</f>
        <v>0</v>
      </c>
    </row>
    <row r="467" spans="1:21" x14ac:dyDescent="0.3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  <c r="U467">
        <f>IF(ChurnData[[#This Row],[churn]]="yes",1,0)</f>
        <v>0</v>
      </c>
    </row>
    <row r="468" spans="1:21" x14ac:dyDescent="0.3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  <c r="U468">
        <f>IF(ChurnData[[#This Row],[churn]]="yes",1,0)</f>
        <v>0</v>
      </c>
    </row>
    <row r="469" spans="1:21" x14ac:dyDescent="0.3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  <c r="U469">
        <f>IF(ChurnData[[#This Row],[churn]]="yes",1,0)</f>
        <v>0</v>
      </c>
    </row>
    <row r="470" spans="1:21" x14ac:dyDescent="0.3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  <c r="U470">
        <f>IF(ChurnData[[#This Row],[churn]]="yes",1,0)</f>
        <v>0</v>
      </c>
    </row>
    <row r="471" spans="1:21" x14ac:dyDescent="0.3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  <c r="U471">
        <f>IF(ChurnData[[#This Row],[churn]]="yes",1,0)</f>
        <v>0</v>
      </c>
    </row>
    <row r="472" spans="1:21" x14ac:dyDescent="0.3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  <c r="U472">
        <f>IF(ChurnData[[#This Row],[churn]]="yes",1,0)</f>
        <v>0</v>
      </c>
    </row>
    <row r="473" spans="1:21" x14ac:dyDescent="0.3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  <c r="U473">
        <f>IF(ChurnData[[#This Row],[churn]]="yes",1,0)</f>
        <v>0</v>
      </c>
    </row>
    <row r="474" spans="1:21" x14ac:dyDescent="0.3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  <c r="U474">
        <f>IF(ChurnData[[#This Row],[churn]]="yes",1,0)</f>
        <v>0</v>
      </c>
    </row>
    <row r="475" spans="1:21" x14ac:dyDescent="0.3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  <c r="U475">
        <f>IF(ChurnData[[#This Row],[churn]]="yes",1,0)</f>
        <v>0</v>
      </c>
    </row>
    <row r="476" spans="1:21" x14ac:dyDescent="0.3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  <c r="U476">
        <f>IF(ChurnData[[#This Row],[churn]]="yes",1,0)</f>
        <v>1</v>
      </c>
    </row>
    <row r="477" spans="1:21" x14ac:dyDescent="0.3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  <c r="U477">
        <f>IF(ChurnData[[#This Row],[churn]]="yes",1,0)</f>
        <v>0</v>
      </c>
    </row>
    <row r="478" spans="1:21" x14ac:dyDescent="0.3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  <c r="U478">
        <f>IF(ChurnData[[#This Row],[churn]]="yes",1,0)</f>
        <v>0</v>
      </c>
    </row>
    <row r="479" spans="1:21" x14ac:dyDescent="0.3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  <c r="U479">
        <f>IF(ChurnData[[#This Row],[churn]]="yes",1,0)</f>
        <v>0</v>
      </c>
    </row>
    <row r="480" spans="1:21" x14ac:dyDescent="0.3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  <c r="U480">
        <f>IF(ChurnData[[#This Row],[churn]]="yes",1,0)</f>
        <v>0</v>
      </c>
    </row>
    <row r="481" spans="1:21" x14ac:dyDescent="0.3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  <c r="U481">
        <f>IF(ChurnData[[#This Row],[churn]]="yes",1,0)</f>
        <v>1</v>
      </c>
    </row>
    <row r="482" spans="1:21" x14ac:dyDescent="0.3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  <c r="U482">
        <f>IF(ChurnData[[#This Row],[churn]]="yes",1,0)</f>
        <v>0</v>
      </c>
    </row>
    <row r="483" spans="1:21" x14ac:dyDescent="0.3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  <c r="U483">
        <f>IF(ChurnData[[#This Row],[churn]]="yes",1,0)</f>
        <v>0</v>
      </c>
    </row>
    <row r="484" spans="1:21" x14ac:dyDescent="0.3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  <c r="U484">
        <f>IF(ChurnData[[#This Row],[churn]]="yes",1,0)</f>
        <v>0</v>
      </c>
    </row>
    <row r="485" spans="1:21" x14ac:dyDescent="0.3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  <c r="U485">
        <f>IF(ChurnData[[#This Row],[churn]]="yes",1,0)</f>
        <v>1</v>
      </c>
    </row>
    <row r="486" spans="1:21" x14ac:dyDescent="0.3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  <c r="U486">
        <f>IF(ChurnData[[#This Row],[churn]]="yes",1,0)</f>
        <v>0</v>
      </c>
    </row>
    <row r="487" spans="1:21" x14ac:dyDescent="0.3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  <c r="U487">
        <f>IF(ChurnData[[#This Row],[churn]]="yes",1,0)</f>
        <v>0</v>
      </c>
    </row>
    <row r="488" spans="1:21" x14ac:dyDescent="0.3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  <c r="U488">
        <f>IF(ChurnData[[#This Row],[churn]]="yes",1,0)</f>
        <v>0</v>
      </c>
    </row>
    <row r="489" spans="1:21" x14ac:dyDescent="0.3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  <c r="U489">
        <f>IF(ChurnData[[#This Row],[churn]]="yes",1,0)</f>
        <v>1</v>
      </c>
    </row>
    <row r="490" spans="1:21" x14ac:dyDescent="0.3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  <c r="U490">
        <f>IF(ChurnData[[#This Row],[churn]]="yes",1,0)</f>
        <v>0</v>
      </c>
    </row>
    <row r="491" spans="1:21" x14ac:dyDescent="0.3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  <c r="U491">
        <f>IF(ChurnData[[#This Row],[churn]]="yes",1,0)</f>
        <v>0</v>
      </c>
    </row>
    <row r="492" spans="1:21" x14ac:dyDescent="0.3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  <c r="U492">
        <f>IF(ChurnData[[#This Row],[churn]]="yes",1,0)</f>
        <v>0</v>
      </c>
    </row>
    <row r="493" spans="1:21" x14ac:dyDescent="0.3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  <c r="U493">
        <f>IF(ChurnData[[#This Row],[churn]]="yes",1,0)</f>
        <v>0</v>
      </c>
    </row>
    <row r="494" spans="1:21" x14ac:dyDescent="0.3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  <c r="U494">
        <f>IF(ChurnData[[#This Row],[churn]]="yes",1,0)</f>
        <v>0</v>
      </c>
    </row>
    <row r="495" spans="1:21" x14ac:dyDescent="0.3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  <c r="U495">
        <f>IF(ChurnData[[#This Row],[churn]]="yes",1,0)</f>
        <v>0</v>
      </c>
    </row>
    <row r="496" spans="1:21" x14ac:dyDescent="0.3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  <c r="U496">
        <f>IF(ChurnData[[#This Row],[churn]]="yes",1,0)</f>
        <v>0</v>
      </c>
    </row>
    <row r="497" spans="1:21" x14ac:dyDescent="0.3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  <c r="U497">
        <f>IF(ChurnData[[#This Row],[churn]]="yes",1,0)</f>
        <v>0</v>
      </c>
    </row>
    <row r="498" spans="1:21" x14ac:dyDescent="0.3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  <c r="U498">
        <f>IF(ChurnData[[#This Row],[churn]]="yes",1,0)</f>
        <v>0</v>
      </c>
    </row>
    <row r="499" spans="1:21" x14ac:dyDescent="0.3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  <c r="U499">
        <f>IF(ChurnData[[#This Row],[churn]]="yes",1,0)</f>
        <v>0</v>
      </c>
    </row>
    <row r="500" spans="1:21" x14ac:dyDescent="0.3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  <c r="U500">
        <f>IF(ChurnData[[#This Row],[churn]]="yes",1,0)</f>
        <v>0</v>
      </c>
    </row>
    <row r="501" spans="1:21" x14ac:dyDescent="0.3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  <c r="U501">
        <f>IF(ChurnData[[#This Row],[churn]]="yes",1,0)</f>
        <v>0</v>
      </c>
    </row>
    <row r="502" spans="1:21" x14ac:dyDescent="0.3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  <c r="U502">
        <f>IF(ChurnData[[#This Row],[churn]]="yes",1,0)</f>
        <v>1</v>
      </c>
    </row>
    <row r="503" spans="1:21" x14ac:dyDescent="0.3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  <c r="U503">
        <f>IF(ChurnData[[#This Row],[churn]]="yes",1,0)</f>
        <v>0</v>
      </c>
    </row>
    <row r="504" spans="1:21" x14ac:dyDescent="0.3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  <c r="U504">
        <f>IF(ChurnData[[#This Row],[churn]]="yes",1,0)</f>
        <v>0</v>
      </c>
    </row>
    <row r="505" spans="1:21" x14ac:dyDescent="0.3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  <c r="U505">
        <f>IF(ChurnData[[#This Row],[churn]]="yes",1,0)</f>
        <v>0</v>
      </c>
    </row>
    <row r="506" spans="1:21" x14ac:dyDescent="0.3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  <c r="U506">
        <f>IF(ChurnData[[#This Row],[churn]]="yes",1,0)</f>
        <v>0</v>
      </c>
    </row>
    <row r="507" spans="1:21" x14ac:dyDescent="0.3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  <c r="U507">
        <f>IF(ChurnData[[#This Row],[churn]]="yes",1,0)</f>
        <v>0</v>
      </c>
    </row>
    <row r="508" spans="1:21" x14ac:dyDescent="0.3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  <c r="U508">
        <f>IF(ChurnData[[#This Row],[churn]]="yes",1,0)</f>
        <v>1</v>
      </c>
    </row>
    <row r="509" spans="1:21" x14ac:dyDescent="0.3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  <c r="U509">
        <f>IF(ChurnData[[#This Row],[churn]]="yes",1,0)</f>
        <v>0</v>
      </c>
    </row>
    <row r="510" spans="1:21" x14ac:dyDescent="0.3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  <c r="U510">
        <f>IF(ChurnData[[#This Row],[churn]]="yes",1,0)</f>
        <v>0</v>
      </c>
    </row>
    <row r="511" spans="1:21" x14ac:dyDescent="0.3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  <c r="U511">
        <f>IF(ChurnData[[#This Row],[churn]]="yes",1,0)</f>
        <v>0</v>
      </c>
    </row>
    <row r="512" spans="1:21" x14ac:dyDescent="0.3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  <c r="U512">
        <f>IF(ChurnData[[#This Row],[churn]]="yes",1,0)</f>
        <v>0</v>
      </c>
    </row>
    <row r="513" spans="1:21" x14ac:dyDescent="0.3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  <c r="U513">
        <f>IF(ChurnData[[#This Row],[churn]]="yes",1,0)</f>
        <v>0</v>
      </c>
    </row>
    <row r="514" spans="1:21" x14ac:dyDescent="0.3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  <c r="U514">
        <f>IF(ChurnData[[#This Row],[churn]]="yes",1,0)</f>
        <v>1</v>
      </c>
    </row>
    <row r="515" spans="1:21" x14ac:dyDescent="0.3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  <c r="U515">
        <f>IF(ChurnData[[#This Row],[churn]]="yes",1,0)</f>
        <v>0</v>
      </c>
    </row>
    <row r="516" spans="1:21" x14ac:dyDescent="0.3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  <c r="U516">
        <f>IF(ChurnData[[#This Row],[churn]]="yes",1,0)</f>
        <v>0</v>
      </c>
    </row>
    <row r="517" spans="1:21" x14ac:dyDescent="0.3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  <c r="U517">
        <f>IF(ChurnData[[#This Row],[churn]]="yes",1,0)</f>
        <v>0</v>
      </c>
    </row>
    <row r="518" spans="1:21" x14ac:dyDescent="0.3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  <c r="U518">
        <f>IF(ChurnData[[#This Row],[churn]]="yes",1,0)</f>
        <v>0</v>
      </c>
    </row>
    <row r="519" spans="1:21" x14ac:dyDescent="0.3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  <c r="U519">
        <f>IF(ChurnData[[#This Row],[churn]]="yes",1,0)</f>
        <v>0</v>
      </c>
    </row>
    <row r="520" spans="1:21" x14ac:dyDescent="0.3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  <c r="U520">
        <f>IF(ChurnData[[#This Row],[churn]]="yes",1,0)</f>
        <v>1</v>
      </c>
    </row>
    <row r="521" spans="1:21" x14ac:dyDescent="0.3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  <c r="U521">
        <f>IF(ChurnData[[#This Row],[churn]]="yes",1,0)</f>
        <v>0</v>
      </c>
    </row>
    <row r="522" spans="1:21" x14ac:dyDescent="0.3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  <c r="U522">
        <f>IF(ChurnData[[#This Row],[churn]]="yes",1,0)</f>
        <v>0</v>
      </c>
    </row>
    <row r="523" spans="1:21" x14ac:dyDescent="0.3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  <c r="U523">
        <f>IF(ChurnData[[#This Row],[churn]]="yes",1,0)</f>
        <v>0</v>
      </c>
    </row>
    <row r="524" spans="1:21" x14ac:dyDescent="0.3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  <c r="U524">
        <f>IF(ChurnData[[#This Row],[churn]]="yes",1,0)</f>
        <v>0</v>
      </c>
    </row>
    <row r="525" spans="1:21" x14ac:dyDescent="0.3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  <c r="U525">
        <f>IF(ChurnData[[#This Row],[churn]]="yes",1,0)</f>
        <v>0</v>
      </c>
    </row>
    <row r="526" spans="1:21" x14ac:dyDescent="0.3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  <c r="U526">
        <f>IF(ChurnData[[#This Row],[churn]]="yes",1,0)</f>
        <v>0</v>
      </c>
    </row>
    <row r="527" spans="1:21" x14ac:dyDescent="0.3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  <c r="U527">
        <f>IF(ChurnData[[#This Row],[churn]]="yes",1,0)</f>
        <v>0</v>
      </c>
    </row>
    <row r="528" spans="1:21" x14ac:dyDescent="0.3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  <c r="U528">
        <f>IF(ChurnData[[#This Row],[churn]]="yes",1,0)</f>
        <v>0</v>
      </c>
    </row>
    <row r="529" spans="1:21" x14ac:dyDescent="0.3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  <c r="U529">
        <f>IF(ChurnData[[#This Row],[churn]]="yes",1,0)</f>
        <v>0</v>
      </c>
    </row>
    <row r="530" spans="1:21" x14ac:dyDescent="0.3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  <c r="U530">
        <f>IF(ChurnData[[#This Row],[churn]]="yes",1,0)</f>
        <v>0</v>
      </c>
    </row>
    <row r="531" spans="1:21" x14ac:dyDescent="0.3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  <c r="U531">
        <f>IF(ChurnData[[#This Row],[churn]]="yes",1,0)</f>
        <v>0</v>
      </c>
    </row>
    <row r="532" spans="1:21" x14ac:dyDescent="0.3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  <c r="U532">
        <f>IF(ChurnData[[#This Row],[churn]]="yes",1,0)</f>
        <v>0</v>
      </c>
    </row>
    <row r="533" spans="1:21" x14ac:dyDescent="0.3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  <c r="U533">
        <f>IF(ChurnData[[#This Row],[churn]]="yes",1,0)</f>
        <v>0</v>
      </c>
    </row>
    <row r="534" spans="1:21" x14ac:dyDescent="0.3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  <c r="U534">
        <f>IF(ChurnData[[#This Row],[churn]]="yes",1,0)</f>
        <v>0</v>
      </c>
    </row>
    <row r="535" spans="1:21" x14ac:dyDescent="0.3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  <c r="U535">
        <f>IF(ChurnData[[#This Row],[churn]]="yes",1,0)</f>
        <v>0</v>
      </c>
    </row>
    <row r="536" spans="1:21" x14ac:dyDescent="0.3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  <c r="U536">
        <f>IF(ChurnData[[#This Row],[churn]]="yes",1,0)</f>
        <v>0</v>
      </c>
    </row>
    <row r="537" spans="1:21" x14ac:dyDescent="0.3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  <c r="U537">
        <f>IF(ChurnData[[#This Row],[churn]]="yes",1,0)</f>
        <v>0</v>
      </c>
    </row>
    <row r="538" spans="1:21" x14ac:dyDescent="0.3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  <c r="U538">
        <f>IF(ChurnData[[#This Row],[churn]]="yes",1,0)</f>
        <v>0</v>
      </c>
    </row>
    <row r="539" spans="1:21" x14ac:dyDescent="0.3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  <c r="U539">
        <f>IF(ChurnData[[#This Row],[churn]]="yes",1,0)</f>
        <v>0</v>
      </c>
    </row>
    <row r="540" spans="1:21" x14ac:dyDescent="0.3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  <c r="U540">
        <f>IF(ChurnData[[#This Row],[churn]]="yes",1,0)</f>
        <v>0</v>
      </c>
    </row>
    <row r="541" spans="1:21" x14ac:dyDescent="0.3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  <c r="U541">
        <f>IF(ChurnData[[#This Row],[churn]]="yes",1,0)</f>
        <v>1</v>
      </c>
    </row>
    <row r="542" spans="1:21" x14ac:dyDescent="0.3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  <c r="U542">
        <f>IF(ChurnData[[#This Row],[churn]]="yes",1,0)</f>
        <v>0</v>
      </c>
    </row>
    <row r="543" spans="1:21" x14ac:dyDescent="0.3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  <c r="U543">
        <f>IF(ChurnData[[#This Row],[churn]]="yes",1,0)</f>
        <v>0</v>
      </c>
    </row>
    <row r="544" spans="1:21" x14ac:dyDescent="0.3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  <c r="U544">
        <f>IF(ChurnData[[#This Row],[churn]]="yes",1,0)</f>
        <v>0</v>
      </c>
    </row>
    <row r="545" spans="1:21" x14ac:dyDescent="0.3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  <c r="U545">
        <f>IF(ChurnData[[#This Row],[churn]]="yes",1,0)</f>
        <v>0</v>
      </c>
    </row>
    <row r="546" spans="1:21" x14ac:dyDescent="0.3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  <c r="U546">
        <f>IF(ChurnData[[#This Row],[churn]]="yes",1,0)</f>
        <v>1</v>
      </c>
    </row>
    <row r="547" spans="1:21" x14ac:dyDescent="0.3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  <c r="U547">
        <f>IF(ChurnData[[#This Row],[churn]]="yes",1,0)</f>
        <v>0</v>
      </c>
    </row>
    <row r="548" spans="1:21" x14ac:dyDescent="0.3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  <c r="U548">
        <f>IF(ChurnData[[#This Row],[churn]]="yes",1,0)</f>
        <v>0</v>
      </c>
    </row>
    <row r="549" spans="1:21" x14ac:dyDescent="0.3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  <c r="U549">
        <f>IF(ChurnData[[#This Row],[churn]]="yes",1,0)</f>
        <v>0</v>
      </c>
    </row>
    <row r="550" spans="1:21" x14ac:dyDescent="0.3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  <c r="U550">
        <f>IF(ChurnData[[#This Row],[churn]]="yes",1,0)</f>
        <v>0</v>
      </c>
    </row>
    <row r="551" spans="1:21" x14ac:dyDescent="0.3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  <c r="U551">
        <f>IF(ChurnData[[#This Row],[churn]]="yes",1,0)</f>
        <v>1</v>
      </c>
    </row>
    <row r="552" spans="1:21" x14ac:dyDescent="0.3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  <c r="U552">
        <f>IF(ChurnData[[#This Row],[churn]]="yes",1,0)</f>
        <v>0</v>
      </c>
    </row>
    <row r="553" spans="1:21" x14ac:dyDescent="0.3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  <c r="U553">
        <f>IF(ChurnData[[#This Row],[churn]]="yes",1,0)</f>
        <v>0</v>
      </c>
    </row>
    <row r="554" spans="1:21" x14ac:dyDescent="0.3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  <c r="U554">
        <f>IF(ChurnData[[#This Row],[churn]]="yes",1,0)</f>
        <v>0</v>
      </c>
    </row>
    <row r="555" spans="1:21" x14ac:dyDescent="0.3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  <c r="U555">
        <f>IF(ChurnData[[#This Row],[churn]]="yes",1,0)</f>
        <v>0</v>
      </c>
    </row>
    <row r="556" spans="1:21" x14ac:dyDescent="0.3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  <c r="U556">
        <f>IF(ChurnData[[#This Row],[churn]]="yes",1,0)</f>
        <v>0</v>
      </c>
    </row>
    <row r="557" spans="1:21" x14ac:dyDescent="0.3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  <c r="U557">
        <f>IF(ChurnData[[#This Row],[churn]]="yes",1,0)</f>
        <v>0</v>
      </c>
    </row>
    <row r="558" spans="1:21" x14ac:dyDescent="0.3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  <c r="U558">
        <f>IF(ChurnData[[#This Row],[churn]]="yes",1,0)</f>
        <v>0</v>
      </c>
    </row>
    <row r="559" spans="1:21" x14ac:dyDescent="0.3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  <c r="U559">
        <f>IF(ChurnData[[#This Row],[churn]]="yes",1,0)</f>
        <v>0</v>
      </c>
    </row>
    <row r="560" spans="1:21" x14ac:dyDescent="0.3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  <c r="U560">
        <f>IF(ChurnData[[#This Row],[churn]]="yes",1,0)</f>
        <v>0</v>
      </c>
    </row>
    <row r="561" spans="1:21" x14ac:dyDescent="0.3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  <c r="U561">
        <f>IF(ChurnData[[#This Row],[churn]]="yes",1,0)</f>
        <v>0</v>
      </c>
    </row>
    <row r="562" spans="1:21" x14ac:dyDescent="0.3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  <c r="U562">
        <f>IF(ChurnData[[#This Row],[churn]]="yes",1,0)</f>
        <v>0</v>
      </c>
    </row>
    <row r="563" spans="1:21" x14ac:dyDescent="0.3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  <c r="U563">
        <f>IF(ChurnData[[#This Row],[churn]]="yes",1,0)</f>
        <v>0</v>
      </c>
    </row>
    <row r="564" spans="1:21" x14ac:dyDescent="0.3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  <c r="U564">
        <f>IF(ChurnData[[#This Row],[churn]]="yes",1,0)</f>
        <v>0</v>
      </c>
    </row>
    <row r="565" spans="1:21" x14ac:dyDescent="0.3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  <c r="U565">
        <f>IF(ChurnData[[#This Row],[churn]]="yes",1,0)</f>
        <v>0</v>
      </c>
    </row>
    <row r="566" spans="1:21" x14ac:dyDescent="0.3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  <c r="U566">
        <f>IF(ChurnData[[#This Row],[churn]]="yes",1,0)</f>
        <v>1</v>
      </c>
    </row>
    <row r="567" spans="1:21" x14ac:dyDescent="0.3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  <c r="U567">
        <f>IF(ChurnData[[#This Row],[churn]]="yes",1,0)</f>
        <v>0</v>
      </c>
    </row>
    <row r="568" spans="1:21" x14ac:dyDescent="0.3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  <c r="U568">
        <f>IF(ChurnData[[#This Row],[churn]]="yes",1,0)</f>
        <v>0</v>
      </c>
    </row>
    <row r="569" spans="1:21" x14ac:dyDescent="0.3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  <c r="U569">
        <f>IF(ChurnData[[#This Row],[churn]]="yes",1,0)</f>
        <v>0</v>
      </c>
    </row>
    <row r="570" spans="1:21" x14ac:dyDescent="0.3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  <c r="U570">
        <f>IF(ChurnData[[#This Row],[churn]]="yes",1,0)</f>
        <v>0</v>
      </c>
    </row>
    <row r="571" spans="1:21" x14ac:dyDescent="0.3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  <c r="U571">
        <f>IF(ChurnData[[#This Row],[churn]]="yes",1,0)</f>
        <v>0</v>
      </c>
    </row>
    <row r="572" spans="1:21" x14ac:dyDescent="0.3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  <c r="U572">
        <f>IF(ChurnData[[#This Row],[churn]]="yes",1,0)</f>
        <v>0</v>
      </c>
    </row>
    <row r="573" spans="1:21" x14ac:dyDescent="0.3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  <c r="U573">
        <f>IF(ChurnData[[#This Row],[churn]]="yes",1,0)</f>
        <v>0</v>
      </c>
    </row>
    <row r="574" spans="1:21" x14ac:dyDescent="0.3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  <c r="U574">
        <f>IF(ChurnData[[#This Row],[churn]]="yes",1,0)</f>
        <v>0</v>
      </c>
    </row>
    <row r="575" spans="1:21" x14ac:dyDescent="0.3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  <c r="U575">
        <f>IF(ChurnData[[#This Row],[churn]]="yes",1,0)</f>
        <v>0</v>
      </c>
    </row>
    <row r="576" spans="1:21" x14ac:dyDescent="0.3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  <c r="U576">
        <f>IF(ChurnData[[#This Row],[churn]]="yes",1,0)</f>
        <v>0</v>
      </c>
    </row>
    <row r="577" spans="1:21" x14ac:dyDescent="0.3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  <c r="U577">
        <f>IF(ChurnData[[#This Row],[churn]]="yes",1,0)</f>
        <v>0</v>
      </c>
    </row>
    <row r="578" spans="1:21" x14ac:dyDescent="0.3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  <c r="U578">
        <f>IF(ChurnData[[#This Row],[churn]]="yes",1,0)</f>
        <v>0</v>
      </c>
    </row>
    <row r="579" spans="1:21" x14ac:dyDescent="0.3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  <c r="U579">
        <f>IF(ChurnData[[#This Row],[churn]]="yes",1,0)</f>
        <v>0</v>
      </c>
    </row>
    <row r="580" spans="1:21" x14ac:dyDescent="0.3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  <c r="U580">
        <f>IF(ChurnData[[#This Row],[churn]]="yes",1,0)</f>
        <v>0</v>
      </c>
    </row>
    <row r="581" spans="1:21" x14ac:dyDescent="0.3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  <c r="U581">
        <f>IF(ChurnData[[#This Row],[churn]]="yes",1,0)</f>
        <v>0</v>
      </c>
    </row>
    <row r="582" spans="1:21" x14ac:dyDescent="0.3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  <c r="U582">
        <f>IF(ChurnData[[#This Row],[churn]]="yes",1,0)</f>
        <v>0</v>
      </c>
    </row>
    <row r="583" spans="1:21" x14ac:dyDescent="0.3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  <c r="U583">
        <f>IF(ChurnData[[#This Row],[churn]]="yes",1,0)</f>
        <v>0</v>
      </c>
    </row>
    <row r="584" spans="1:21" x14ac:dyDescent="0.3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  <c r="U584">
        <f>IF(ChurnData[[#This Row],[churn]]="yes",1,0)</f>
        <v>0</v>
      </c>
    </row>
    <row r="585" spans="1:21" x14ac:dyDescent="0.3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  <c r="U585">
        <f>IF(ChurnData[[#This Row],[churn]]="yes",1,0)</f>
        <v>0</v>
      </c>
    </row>
    <row r="586" spans="1:21" x14ac:dyDescent="0.3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  <c r="U586">
        <f>IF(ChurnData[[#This Row],[churn]]="yes",1,0)</f>
        <v>0</v>
      </c>
    </row>
    <row r="587" spans="1:21" x14ac:dyDescent="0.3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  <c r="U587">
        <f>IF(ChurnData[[#This Row],[churn]]="yes",1,0)</f>
        <v>0</v>
      </c>
    </row>
    <row r="588" spans="1:21" x14ac:dyDescent="0.3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  <c r="U588">
        <f>IF(ChurnData[[#This Row],[churn]]="yes",1,0)</f>
        <v>0</v>
      </c>
    </row>
    <row r="589" spans="1:21" x14ac:dyDescent="0.3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  <c r="U589">
        <f>IF(ChurnData[[#This Row],[churn]]="yes",1,0)</f>
        <v>0</v>
      </c>
    </row>
    <row r="590" spans="1:21" x14ac:dyDescent="0.3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  <c r="U590">
        <f>IF(ChurnData[[#This Row],[churn]]="yes",1,0)</f>
        <v>0</v>
      </c>
    </row>
    <row r="591" spans="1:21" x14ac:dyDescent="0.3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  <c r="U591">
        <f>IF(ChurnData[[#This Row],[churn]]="yes",1,0)</f>
        <v>0</v>
      </c>
    </row>
    <row r="592" spans="1:21" x14ac:dyDescent="0.3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  <c r="U592">
        <f>IF(ChurnData[[#This Row],[churn]]="yes",1,0)</f>
        <v>0</v>
      </c>
    </row>
    <row r="593" spans="1:21" x14ac:dyDescent="0.3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  <c r="U593">
        <f>IF(ChurnData[[#This Row],[churn]]="yes",1,0)</f>
        <v>0</v>
      </c>
    </row>
    <row r="594" spans="1:21" x14ac:dyDescent="0.3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  <c r="U594">
        <f>IF(ChurnData[[#This Row],[churn]]="yes",1,0)</f>
        <v>0</v>
      </c>
    </row>
    <row r="595" spans="1:21" x14ac:dyDescent="0.3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  <c r="U595">
        <f>IF(ChurnData[[#This Row],[churn]]="yes",1,0)</f>
        <v>0</v>
      </c>
    </row>
    <row r="596" spans="1:21" x14ac:dyDescent="0.3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  <c r="U596">
        <f>IF(ChurnData[[#This Row],[churn]]="yes",1,0)</f>
        <v>0</v>
      </c>
    </row>
    <row r="597" spans="1:21" x14ac:dyDescent="0.3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  <c r="U597">
        <f>IF(ChurnData[[#This Row],[churn]]="yes",1,0)</f>
        <v>0</v>
      </c>
    </row>
    <row r="598" spans="1:21" x14ac:dyDescent="0.3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  <c r="U598">
        <f>IF(ChurnData[[#This Row],[churn]]="yes",1,0)</f>
        <v>1</v>
      </c>
    </row>
    <row r="599" spans="1:21" x14ac:dyDescent="0.3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  <c r="U599">
        <f>IF(ChurnData[[#This Row],[churn]]="yes",1,0)</f>
        <v>0</v>
      </c>
    </row>
    <row r="600" spans="1:21" x14ac:dyDescent="0.3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  <c r="U600">
        <f>IF(ChurnData[[#This Row],[churn]]="yes",1,0)</f>
        <v>0</v>
      </c>
    </row>
    <row r="601" spans="1:21" x14ac:dyDescent="0.3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  <c r="U601">
        <f>IF(ChurnData[[#This Row],[churn]]="yes",1,0)</f>
        <v>0</v>
      </c>
    </row>
    <row r="602" spans="1:21" x14ac:dyDescent="0.3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  <c r="U602">
        <f>IF(ChurnData[[#This Row],[churn]]="yes",1,0)</f>
        <v>0</v>
      </c>
    </row>
    <row r="603" spans="1:21" x14ac:dyDescent="0.3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  <c r="U603">
        <f>IF(ChurnData[[#This Row],[churn]]="yes",1,0)</f>
        <v>0</v>
      </c>
    </row>
    <row r="604" spans="1:21" x14ac:dyDescent="0.3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  <c r="U604">
        <f>IF(ChurnData[[#This Row],[churn]]="yes",1,0)</f>
        <v>1</v>
      </c>
    </row>
    <row r="605" spans="1:21" x14ac:dyDescent="0.3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  <c r="U605">
        <f>IF(ChurnData[[#This Row],[churn]]="yes",1,0)</f>
        <v>0</v>
      </c>
    </row>
    <row r="606" spans="1:21" x14ac:dyDescent="0.3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  <c r="U606">
        <f>IF(ChurnData[[#This Row],[churn]]="yes",1,0)</f>
        <v>0</v>
      </c>
    </row>
    <row r="607" spans="1:21" x14ac:dyDescent="0.3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  <c r="U607">
        <f>IF(ChurnData[[#This Row],[churn]]="yes",1,0)</f>
        <v>0</v>
      </c>
    </row>
    <row r="608" spans="1:21" x14ac:dyDescent="0.3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  <c r="U608">
        <f>IF(ChurnData[[#This Row],[churn]]="yes",1,0)</f>
        <v>0</v>
      </c>
    </row>
    <row r="609" spans="1:21" x14ac:dyDescent="0.3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  <c r="U609">
        <f>IF(ChurnData[[#This Row],[churn]]="yes",1,0)</f>
        <v>0</v>
      </c>
    </row>
    <row r="610" spans="1:21" x14ac:dyDescent="0.3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  <c r="U610">
        <f>IF(ChurnData[[#This Row],[churn]]="yes",1,0)</f>
        <v>0</v>
      </c>
    </row>
    <row r="611" spans="1:21" x14ac:dyDescent="0.3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  <c r="U611">
        <f>IF(ChurnData[[#This Row],[churn]]="yes",1,0)</f>
        <v>0</v>
      </c>
    </row>
    <row r="612" spans="1:21" x14ac:dyDescent="0.3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  <c r="U612">
        <f>IF(ChurnData[[#This Row],[churn]]="yes",1,0)</f>
        <v>1</v>
      </c>
    </row>
    <row r="613" spans="1:21" x14ac:dyDescent="0.3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  <c r="U613">
        <f>IF(ChurnData[[#This Row],[churn]]="yes",1,0)</f>
        <v>0</v>
      </c>
    </row>
    <row r="614" spans="1:21" x14ac:dyDescent="0.3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  <c r="U614">
        <f>IF(ChurnData[[#This Row],[churn]]="yes",1,0)</f>
        <v>0</v>
      </c>
    </row>
    <row r="615" spans="1:21" x14ac:dyDescent="0.3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  <c r="U615">
        <f>IF(ChurnData[[#This Row],[churn]]="yes",1,0)</f>
        <v>0</v>
      </c>
    </row>
    <row r="616" spans="1:21" x14ac:dyDescent="0.3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  <c r="U616">
        <f>IF(ChurnData[[#This Row],[churn]]="yes",1,0)</f>
        <v>0</v>
      </c>
    </row>
    <row r="617" spans="1:21" x14ac:dyDescent="0.3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  <c r="U617">
        <f>IF(ChurnData[[#This Row],[churn]]="yes",1,0)</f>
        <v>1</v>
      </c>
    </row>
    <row r="618" spans="1:21" x14ac:dyDescent="0.3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  <c r="U618">
        <f>IF(ChurnData[[#This Row],[churn]]="yes",1,0)</f>
        <v>0</v>
      </c>
    </row>
    <row r="619" spans="1:21" x14ac:dyDescent="0.3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  <c r="U619">
        <f>IF(ChurnData[[#This Row],[churn]]="yes",1,0)</f>
        <v>0</v>
      </c>
    </row>
    <row r="620" spans="1:21" x14ac:dyDescent="0.3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  <c r="U620">
        <f>IF(ChurnData[[#This Row],[churn]]="yes",1,0)</f>
        <v>0</v>
      </c>
    </row>
    <row r="621" spans="1:21" x14ac:dyDescent="0.3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  <c r="U621">
        <f>IF(ChurnData[[#This Row],[churn]]="yes",1,0)</f>
        <v>0</v>
      </c>
    </row>
    <row r="622" spans="1:21" x14ac:dyDescent="0.3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  <c r="U622">
        <f>IF(ChurnData[[#This Row],[churn]]="yes",1,0)</f>
        <v>0</v>
      </c>
    </row>
    <row r="623" spans="1:21" x14ac:dyDescent="0.3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  <c r="U623">
        <f>IF(ChurnData[[#This Row],[churn]]="yes",1,0)</f>
        <v>0</v>
      </c>
    </row>
    <row r="624" spans="1:21" x14ac:dyDescent="0.3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  <c r="U624">
        <f>IF(ChurnData[[#This Row],[churn]]="yes",1,0)</f>
        <v>0</v>
      </c>
    </row>
    <row r="625" spans="1:21" x14ac:dyDescent="0.3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  <c r="U625">
        <f>IF(ChurnData[[#This Row],[churn]]="yes",1,0)</f>
        <v>0</v>
      </c>
    </row>
    <row r="626" spans="1:21" x14ac:dyDescent="0.3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  <c r="U626">
        <f>IF(ChurnData[[#This Row],[churn]]="yes",1,0)</f>
        <v>0</v>
      </c>
    </row>
    <row r="627" spans="1:21" x14ac:dyDescent="0.3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  <c r="U627">
        <f>IF(ChurnData[[#This Row],[churn]]="yes",1,0)</f>
        <v>0</v>
      </c>
    </row>
    <row r="628" spans="1:21" x14ac:dyDescent="0.3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  <c r="U628">
        <f>IF(ChurnData[[#This Row],[churn]]="yes",1,0)</f>
        <v>0</v>
      </c>
    </row>
    <row r="629" spans="1:21" x14ac:dyDescent="0.3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  <c r="U629">
        <f>IF(ChurnData[[#This Row],[churn]]="yes",1,0)</f>
        <v>0</v>
      </c>
    </row>
    <row r="630" spans="1:21" x14ac:dyDescent="0.3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  <c r="U630">
        <f>IF(ChurnData[[#This Row],[churn]]="yes",1,0)</f>
        <v>0</v>
      </c>
    </row>
    <row r="631" spans="1:21" x14ac:dyDescent="0.3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  <c r="U631">
        <f>IF(ChurnData[[#This Row],[churn]]="yes",1,0)</f>
        <v>0</v>
      </c>
    </row>
    <row r="632" spans="1:21" x14ac:dyDescent="0.3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  <c r="U632">
        <f>IF(ChurnData[[#This Row],[churn]]="yes",1,0)</f>
        <v>0</v>
      </c>
    </row>
    <row r="633" spans="1:21" x14ac:dyDescent="0.3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  <c r="U633">
        <f>IF(ChurnData[[#This Row],[churn]]="yes",1,0)</f>
        <v>0</v>
      </c>
    </row>
    <row r="634" spans="1:21" x14ac:dyDescent="0.3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  <c r="U634">
        <f>IF(ChurnData[[#This Row],[churn]]="yes",1,0)</f>
        <v>0</v>
      </c>
    </row>
    <row r="635" spans="1:21" x14ac:dyDescent="0.3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  <c r="U635">
        <f>IF(ChurnData[[#This Row],[churn]]="yes",1,0)</f>
        <v>0</v>
      </c>
    </row>
    <row r="636" spans="1:21" x14ac:dyDescent="0.3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  <c r="U636">
        <f>IF(ChurnData[[#This Row],[churn]]="yes",1,0)</f>
        <v>0</v>
      </c>
    </row>
    <row r="637" spans="1:21" x14ac:dyDescent="0.3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  <c r="U637">
        <f>IF(ChurnData[[#This Row],[churn]]="yes",1,0)</f>
        <v>0</v>
      </c>
    </row>
    <row r="638" spans="1:21" x14ac:dyDescent="0.3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  <c r="U638">
        <f>IF(ChurnData[[#This Row],[churn]]="yes",1,0)</f>
        <v>0</v>
      </c>
    </row>
    <row r="639" spans="1:21" x14ac:dyDescent="0.3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  <c r="U639">
        <f>IF(ChurnData[[#This Row],[churn]]="yes",1,0)</f>
        <v>0</v>
      </c>
    </row>
    <row r="640" spans="1:21" x14ac:dyDescent="0.3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  <c r="U640">
        <f>IF(ChurnData[[#This Row],[churn]]="yes",1,0)</f>
        <v>0</v>
      </c>
    </row>
    <row r="641" spans="1:21" x14ac:dyDescent="0.3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  <c r="U641">
        <f>IF(ChurnData[[#This Row],[churn]]="yes",1,0)</f>
        <v>1</v>
      </c>
    </row>
    <row r="642" spans="1:21" x14ac:dyDescent="0.3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  <c r="U642">
        <f>IF(ChurnData[[#This Row],[churn]]="yes",1,0)</f>
        <v>0</v>
      </c>
    </row>
    <row r="643" spans="1:21" x14ac:dyDescent="0.3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  <c r="U643">
        <f>IF(ChurnData[[#This Row],[churn]]="yes",1,0)</f>
        <v>0</v>
      </c>
    </row>
    <row r="644" spans="1:21" x14ac:dyDescent="0.3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  <c r="U644">
        <f>IF(ChurnData[[#This Row],[churn]]="yes",1,0)</f>
        <v>0</v>
      </c>
    </row>
    <row r="645" spans="1:21" x14ac:dyDescent="0.3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  <c r="U645">
        <f>IF(ChurnData[[#This Row],[churn]]="yes",1,0)</f>
        <v>0</v>
      </c>
    </row>
    <row r="646" spans="1:21" x14ac:dyDescent="0.3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  <c r="U646">
        <f>IF(ChurnData[[#This Row],[churn]]="yes",1,0)</f>
        <v>1</v>
      </c>
    </row>
    <row r="647" spans="1:21" x14ac:dyDescent="0.3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  <c r="U647">
        <f>IF(ChurnData[[#This Row],[churn]]="yes",1,0)</f>
        <v>0</v>
      </c>
    </row>
    <row r="648" spans="1:21" x14ac:dyDescent="0.3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  <c r="U648">
        <f>IF(ChurnData[[#This Row],[churn]]="yes",1,0)</f>
        <v>1</v>
      </c>
    </row>
    <row r="649" spans="1:21" x14ac:dyDescent="0.3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  <c r="U649">
        <f>IF(ChurnData[[#This Row],[churn]]="yes",1,0)</f>
        <v>0</v>
      </c>
    </row>
    <row r="650" spans="1:21" x14ac:dyDescent="0.3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  <c r="U650">
        <f>IF(ChurnData[[#This Row],[churn]]="yes",1,0)</f>
        <v>0</v>
      </c>
    </row>
    <row r="651" spans="1:21" x14ac:dyDescent="0.3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  <c r="U651">
        <f>IF(ChurnData[[#This Row],[churn]]="yes",1,0)</f>
        <v>0</v>
      </c>
    </row>
    <row r="652" spans="1:21" x14ac:dyDescent="0.3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  <c r="U652">
        <f>IF(ChurnData[[#This Row],[churn]]="yes",1,0)</f>
        <v>0</v>
      </c>
    </row>
    <row r="653" spans="1:21" x14ac:dyDescent="0.3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  <c r="U653">
        <f>IF(ChurnData[[#This Row],[churn]]="yes",1,0)</f>
        <v>0</v>
      </c>
    </row>
    <row r="654" spans="1:21" x14ac:dyDescent="0.3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  <c r="U654">
        <f>IF(ChurnData[[#This Row],[churn]]="yes",1,0)</f>
        <v>0</v>
      </c>
    </row>
    <row r="655" spans="1:21" x14ac:dyDescent="0.3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  <c r="U655">
        <f>IF(ChurnData[[#This Row],[churn]]="yes",1,0)</f>
        <v>0</v>
      </c>
    </row>
    <row r="656" spans="1:21" x14ac:dyDescent="0.3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  <c r="U656">
        <f>IF(ChurnData[[#This Row],[churn]]="yes",1,0)</f>
        <v>0</v>
      </c>
    </row>
    <row r="657" spans="1:21" x14ac:dyDescent="0.3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  <c r="U657">
        <f>IF(ChurnData[[#This Row],[churn]]="yes",1,0)</f>
        <v>0</v>
      </c>
    </row>
    <row r="658" spans="1:21" x14ac:dyDescent="0.3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  <c r="U658">
        <f>IF(ChurnData[[#This Row],[churn]]="yes",1,0)</f>
        <v>0</v>
      </c>
    </row>
    <row r="659" spans="1:21" x14ac:dyDescent="0.3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  <c r="U659">
        <f>IF(ChurnData[[#This Row],[churn]]="yes",1,0)</f>
        <v>1</v>
      </c>
    </row>
    <row r="660" spans="1:21" x14ac:dyDescent="0.3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  <c r="U660">
        <f>IF(ChurnData[[#This Row],[churn]]="yes",1,0)</f>
        <v>0</v>
      </c>
    </row>
    <row r="661" spans="1:21" x14ac:dyDescent="0.3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  <c r="U661">
        <f>IF(ChurnData[[#This Row],[churn]]="yes",1,0)</f>
        <v>0</v>
      </c>
    </row>
    <row r="662" spans="1:21" x14ac:dyDescent="0.3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  <c r="U662">
        <f>IF(ChurnData[[#This Row],[churn]]="yes",1,0)</f>
        <v>0</v>
      </c>
    </row>
    <row r="663" spans="1:21" x14ac:dyDescent="0.3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  <c r="U663">
        <f>IF(ChurnData[[#This Row],[churn]]="yes",1,0)</f>
        <v>0</v>
      </c>
    </row>
    <row r="664" spans="1:21" x14ac:dyDescent="0.3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  <c r="U664">
        <f>IF(ChurnData[[#This Row],[churn]]="yes",1,0)</f>
        <v>1</v>
      </c>
    </row>
    <row r="665" spans="1:21" x14ac:dyDescent="0.3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  <c r="U665">
        <f>IF(ChurnData[[#This Row],[churn]]="yes",1,0)</f>
        <v>0</v>
      </c>
    </row>
    <row r="666" spans="1:21" x14ac:dyDescent="0.3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  <c r="U666">
        <f>IF(ChurnData[[#This Row],[churn]]="yes",1,0)</f>
        <v>0</v>
      </c>
    </row>
    <row r="667" spans="1:21" x14ac:dyDescent="0.3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  <c r="U667">
        <f>IF(ChurnData[[#This Row],[churn]]="yes",1,0)</f>
        <v>0</v>
      </c>
    </row>
    <row r="668" spans="1:21" x14ac:dyDescent="0.3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  <c r="U668">
        <f>IF(ChurnData[[#This Row],[churn]]="yes",1,0)</f>
        <v>1</v>
      </c>
    </row>
    <row r="669" spans="1:21" x14ac:dyDescent="0.3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  <c r="U669">
        <f>IF(ChurnData[[#This Row],[churn]]="yes",1,0)</f>
        <v>0</v>
      </c>
    </row>
    <row r="670" spans="1:21" x14ac:dyDescent="0.3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  <c r="U670">
        <f>IF(ChurnData[[#This Row],[churn]]="yes",1,0)</f>
        <v>0</v>
      </c>
    </row>
    <row r="671" spans="1:21" x14ac:dyDescent="0.3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  <c r="U671">
        <f>IF(ChurnData[[#This Row],[churn]]="yes",1,0)</f>
        <v>0</v>
      </c>
    </row>
    <row r="672" spans="1:21" x14ac:dyDescent="0.3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  <c r="U672">
        <f>IF(ChurnData[[#This Row],[churn]]="yes",1,0)</f>
        <v>0</v>
      </c>
    </row>
    <row r="673" spans="1:21" x14ac:dyDescent="0.3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  <c r="U673">
        <f>IF(ChurnData[[#This Row],[churn]]="yes",1,0)</f>
        <v>0</v>
      </c>
    </row>
    <row r="674" spans="1:21" x14ac:dyDescent="0.3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  <c r="U674">
        <f>IF(ChurnData[[#This Row],[churn]]="yes",1,0)</f>
        <v>0</v>
      </c>
    </row>
    <row r="675" spans="1:21" x14ac:dyDescent="0.3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  <c r="U675">
        <f>IF(ChurnData[[#This Row],[churn]]="yes",1,0)</f>
        <v>0</v>
      </c>
    </row>
    <row r="676" spans="1:21" x14ac:dyDescent="0.3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  <c r="U676">
        <f>IF(ChurnData[[#This Row],[churn]]="yes",1,0)</f>
        <v>0</v>
      </c>
    </row>
    <row r="677" spans="1:21" x14ac:dyDescent="0.3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  <c r="U677">
        <f>IF(ChurnData[[#This Row],[churn]]="yes",1,0)</f>
        <v>0</v>
      </c>
    </row>
    <row r="678" spans="1:21" x14ac:dyDescent="0.3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  <c r="U678">
        <f>IF(ChurnData[[#This Row],[churn]]="yes",1,0)</f>
        <v>0</v>
      </c>
    </row>
    <row r="679" spans="1:21" x14ac:dyDescent="0.3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  <c r="U679">
        <f>IF(ChurnData[[#This Row],[churn]]="yes",1,0)</f>
        <v>0</v>
      </c>
    </row>
    <row r="680" spans="1:21" x14ac:dyDescent="0.3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  <c r="U680">
        <f>IF(ChurnData[[#This Row],[churn]]="yes",1,0)</f>
        <v>0</v>
      </c>
    </row>
    <row r="681" spans="1:21" x14ac:dyDescent="0.3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  <c r="U681">
        <f>IF(ChurnData[[#This Row],[churn]]="yes",1,0)</f>
        <v>0</v>
      </c>
    </row>
    <row r="682" spans="1:21" x14ac:dyDescent="0.3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  <c r="U682">
        <f>IF(ChurnData[[#This Row],[churn]]="yes",1,0)</f>
        <v>0</v>
      </c>
    </row>
    <row r="683" spans="1:21" x14ac:dyDescent="0.3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  <c r="U683">
        <f>IF(ChurnData[[#This Row],[churn]]="yes",1,0)</f>
        <v>0</v>
      </c>
    </row>
    <row r="684" spans="1:21" x14ac:dyDescent="0.3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  <c r="U684">
        <f>IF(ChurnData[[#This Row],[churn]]="yes",1,0)</f>
        <v>1</v>
      </c>
    </row>
    <row r="685" spans="1:21" x14ac:dyDescent="0.3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  <c r="U685">
        <f>IF(ChurnData[[#This Row],[churn]]="yes",1,0)</f>
        <v>0</v>
      </c>
    </row>
    <row r="686" spans="1:21" x14ac:dyDescent="0.3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  <c r="U686">
        <f>IF(ChurnData[[#This Row],[churn]]="yes",1,0)</f>
        <v>0</v>
      </c>
    </row>
    <row r="687" spans="1:21" x14ac:dyDescent="0.3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  <c r="U687">
        <f>IF(ChurnData[[#This Row],[churn]]="yes",1,0)</f>
        <v>0</v>
      </c>
    </row>
    <row r="688" spans="1:21" x14ac:dyDescent="0.3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  <c r="U688">
        <f>IF(ChurnData[[#This Row],[churn]]="yes",1,0)</f>
        <v>0</v>
      </c>
    </row>
    <row r="689" spans="1:21" x14ac:dyDescent="0.3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  <c r="U689">
        <f>IF(ChurnData[[#This Row],[churn]]="yes",1,0)</f>
        <v>0</v>
      </c>
    </row>
    <row r="690" spans="1:21" x14ac:dyDescent="0.3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  <c r="U690">
        <f>IF(ChurnData[[#This Row],[churn]]="yes",1,0)</f>
        <v>0</v>
      </c>
    </row>
    <row r="691" spans="1:21" x14ac:dyDescent="0.3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  <c r="U691">
        <f>IF(ChurnData[[#This Row],[churn]]="yes",1,0)</f>
        <v>0</v>
      </c>
    </row>
    <row r="692" spans="1:21" x14ac:dyDescent="0.3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  <c r="U692">
        <f>IF(ChurnData[[#This Row],[churn]]="yes",1,0)</f>
        <v>0</v>
      </c>
    </row>
    <row r="693" spans="1:21" x14ac:dyDescent="0.3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  <c r="U693">
        <f>IF(ChurnData[[#This Row],[churn]]="yes",1,0)</f>
        <v>0</v>
      </c>
    </row>
    <row r="694" spans="1:21" x14ac:dyDescent="0.3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  <c r="U694">
        <f>IF(ChurnData[[#This Row],[churn]]="yes",1,0)</f>
        <v>0</v>
      </c>
    </row>
    <row r="695" spans="1:21" x14ac:dyDescent="0.3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  <c r="U695">
        <f>IF(ChurnData[[#This Row],[churn]]="yes",1,0)</f>
        <v>0</v>
      </c>
    </row>
    <row r="696" spans="1:21" x14ac:dyDescent="0.3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  <c r="U696">
        <f>IF(ChurnData[[#This Row],[churn]]="yes",1,0)</f>
        <v>1</v>
      </c>
    </row>
    <row r="697" spans="1:21" x14ac:dyDescent="0.3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  <c r="U697">
        <f>IF(ChurnData[[#This Row],[churn]]="yes",1,0)</f>
        <v>0</v>
      </c>
    </row>
    <row r="698" spans="1:21" x14ac:dyDescent="0.3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  <c r="U698">
        <f>IF(ChurnData[[#This Row],[churn]]="yes",1,0)</f>
        <v>1</v>
      </c>
    </row>
    <row r="699" spans="1:21" x14ac:dyDescent="0.3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  <c r="U699">
        <f>IF(ChurnData[[#This Row],[churn]]="yes",1,0)</f>
        <v>0</v>
      </c>
    </row>
    <row r="700" spans="1:21" x14ac:dyDescent="0.3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  <c r="U700">
        <f>IF(ChurnData[[#This Row],[churn]]="yes",1,0)</f>
        <v>0</v>
      </c>
    </row>
    <row r="701" spans="1:21" x14ac:dyDescent="0.3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  <c r="U701">
        <f>IF(ChurnData[[#This Row],[churn]]="yes",1,0)</f>
        <v>0</v>
      </c>
    </row>
    <row r="702" spans="1:21" x14ac:dyDescent="0.3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  <c r="U702">
        <f>IF(ChurnData[[#This Row],[churn]]="yes",1,0)</f>
        <v>0</v>
      </c>
    </row>
    <row r="703" spans="1:21" x14ac:dyDescent="0.3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  <c r="U703">
        <f>IF(ChurnData[[#This Row],[churn]]="yes",1,0)</f>
        <v>0</v>
      </c>
    </row>
    <row r="704" spans="1:21" x14ac:dyDescent="0.3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  <c r="U704">
        <f>IF(ChurnData[[#This Row],[churn]]="yes",1,0)</f>
        <v>0</v>
      </c>
    </row>
    <row r="705" spans="1:21" x14ac:dyDescent="0.3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  <c r="U705">
        <f>IF(ChurnData[[#This Row],[churn]]="yes",1,0)</f>
        <v>0</v>
      </c>
    </row>
    <row r="706" spans="1:21" x14ac:dyDescent="0.3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  <c r="U706">
        <f>IF(ChurnData[[#This Row],[churn]]="yes",1,0)</f>
        <v>0</v>
      </c>
    </row>
    <row r="707" spans="1:21" x14ac:dyDescent="0.3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  <c r="U707">
        <f>IF(ChurnData[[#This Row],[churn]]="yes",1,0)</f>
        <v>0</v>
      </c>
    </row>
    <row r="708" spans="1:21" x14ac:dyDescent="0.3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  <c r="U708">
        <f>IF(ChurnData[[#This Row],[churn]]="yes",1,0)</f>
        <v>0</v>
      </c>
    </row>
    <row r="709" spans="1:21" x14ac:dyDescent="0.3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  <c r="U709">
        <f>IF(ChurnData[[#This Row],[churn]]="yes",1,0)</f>
        <v>0</v>
      </c>
    </row>
    <row r="710" spans="1:21" x14ac:dyDescent="0.3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  <c r="U710">
        <f>IF(ChurnData[[#This Row],[churn]]="yes",1,0)</f>
        <v>1</v>
      </c>
    </row>
    <row r="711" spans="1:21" x14ac:dyDescent="0.3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  <c r="U711">
        <f>IF(ChurnData[[#This Row],[churn]]="yes",1,0)</f>
        <v>0</v>
      </c>
    </row>
    <row r="712" spans="1:21" x14ac:dyDescent="0.3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  <c r="U712">
        <f>IF(ChurnData[[#This Row],[churn]]="yes",1,0)</f>
        <v>0</v>
      </c>
    </row>
    <row r="713" spans="1:21" x14ac:dyDescent="0.3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  <c r="U713">
        <f>IF(ChurnData[[#This Row],[churn]]="yes",1,0)</f>
        <v>0</v>
      </c>
    </row>
    <row r="714" spans="1:21" x14ac:dyDescent="0.3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  <c r="U714">
        <f>IF(ChurnData[[#This Row],[churn]]="yes",1,0)</f>
        <v>0</v>
      </c>
    </row>
    <row r="715" spans="1:21" x14ac:dyDescent="0.3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  <c r="U715">
        <f>IF(ChurnData[[#This Row],[churn]]="yes",1,0)</f>
        <v>1</v>
      </c>
    </row>
    <row r="716" spans="1:21" x14ac:dyDescent="0.3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  <c r="U716">
        <f>IF(ChurnData[[#This Row],[churn]]="yes",1,0)</f>
        <v>0</v>
      </c>
    </row>
    <row r="717" spans="1:21" x14ac:dyDescent="0.3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  <c r="U717">
        <f>IF(ChurnData[[#This Row],[churn]]="yes",1,0)</f>
        <v>0</v>
      </c>
    </row>
    <row r="718" spans="1:21" x14ac:dyDescent="0.3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  <c r="U718">
        <f>IF(ChurnData[[#This Row],[churn]]="yes",1,0)</f>
        <v>0</v>
      </c>
    </row>
    <row r="719" spans="1:21" x14ac:dyDescent="0.3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  <c r="U719">
        <f>IF(ChurnData[[#This Row],[churn]]="yes",1,0)</f>
        <v>0</v>
      </c>
    </row>
    <row r="720" spans="1:21" x14ac:dyDescent="0.3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  <c r="U720">
        <f>IF(ChurnData[[#This Row],[churn]]="yes",1,0)</f>
        <v>0</v>
      </c>
    </row>
    <row r="721" spans="1:21" x14ac:dyDescent="0.3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  <c r="U721">
        <f>IF(ChurnData[[#This Row],[churn]]="yes",1,0)</f>
        <v>0</v>
      </c>
    </row>
    <row r="722" spans="1:21" x14ac:dyDescent="0.3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  <c r="U722">
        <f>IF(ChurnData[[#This Row],[churn]]="yes",1,0)</f>
        <v>1</v>
      </c>
    </row>
    <row r="723" spans="1:21" x14ac:dyDescent="0.3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  <c r="U723">
        <f>IF(ChurnData[[#This Row],[churn]]="yes",1,0)</f>
        <v>0</v>
      </c>
    </row>
    <row r="724" spans="1:21" x14ac:dyDescent="0.3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  <c r="U724">
        <f>IF(ChurnData[[#This Row],[churn]]="yes",1,0)</f>
        <v>0</v>
      </c>
    </row>
    <row r="725" spans="1:21" x14ac:dyDescent="0.3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  <c r="U725">
        <f>IF(ChurnData[[#This Row],[churn]]="yes",1,0)</f>
        <v>0</v>
      </c>
    </row>
    <row r="726" spans="1:21" x14ac:dyDescent="0.3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  <c r="U726">
        <f>IF(ChurnData[[#This Row],[churn]]="yes",1,0)</f>
        <v>0</v>
      </c>
    </row>
    <row r="727" spans="1:21" x14ac:dyDescent="0.3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  <c r="U727">
        <f>IF(ChurnData[[#This Row],[churn]]="yes",1,0)</f>
        <v>0</v>
      </c>
    </row>
    <row r="728" spans="1:21" x14ac:dyDescent="0.3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  <c r="U728">
        <f>IF(ChurnData[[#This Row],[churn]]="yes",1,0)</f>
        <v>0</v>
      </c>
    </row>
    <row r="729" spans="1:21" x14ac:dyDescent="0.3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  <c r="U729">
        <f>IF(ChurnData[[#This Row],[churn]]="yes",1,0)</f>
        <v>0</v>
      </c>
    </row>
    <row r="730" spans="1:21" x14ac:dyDescent="0.3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  <c r="U730">
        <f>IF(ChurnData[[#This Row],[churn]]="yes",1,0)</f>
        <v>0</v>
      </c>
    </row>
    <row r="731" spans="1:21" x14ac:dyDescent="0.3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  <c r="U731">
        <f>IF(ChurnData[[#This Row],[churn]]="yes",1,0)</f>
        <v>0</v>
      </c>
    </row>
    <row r="732" spans="1:21" x14ac:dyDescent="0.3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  <c r="U732">
        <f>IF(ChurnData[[#This Row],[churn]]="yes",1,0)</f>
        <v>0</v>
      </c>
    </row>
    <row r="733" spans="1:21" x14ac:dyDescent="0.3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  <c r="U733">
        <f>IF(ChurnData[[#This Row],[churn]]="yes",1,0)</f>
        <v>0</v>
      </c>
    </row>
    <row r="734" spans="1:21" x14ac:dyDescent="0.3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  <c r="U734">
        <f>IF(ChurnData[[#This Row],[churn]]="yes",1,0)</f>
        <v>0</v>
      </c>
    </row>
    <row r="735" spans="1:21" x14ac:dyDescent="0.3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  <c r="U735">
        <f>IF(ChurnData[[#This Row],[churn]]="yes",1,0)</f>
        <v>0</v>
      </c>
    </row>
    <row r="736" spans="1:21" x14ac:dyDescent="0.3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  <c r="U736">
        <f>IF(ChurnData[[#This Row],[churn]]="yes",1,0)</f>
        <v>0</v>
      </c>
    </row>
    <row r="737" spans="1:21" x14ac:dyDescent="0.3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  <c r="U737">
        <f>IF(ChurnData[[#This Row],[churn]]="yes",1,0)</f>
        <v>0</v>
      </c>
    </row>
    <row r="738" spans="1:21" x14ac:dyDescent="0.3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  <c r="U738">
        <f>IF(ChurnData[[#This Row],[churn]]="yes",1,0)</f>
        <v>0</v>
      </c>
    </row>
    <row r="739" spans="1:21" x14ac:dyDescent="0.3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  <c r="U739">
        <f>IF(ChurnData[[#This Row],[churn]]="yes",1,0)</f>
        <v>0</v>
      </c>
    </row>
    <row r="740" spans="1:21" x14ac:dyDescent="0.3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  <c r="U740">
        <f>IF(ChurnData[[#This Row],[churn]]="yes",1,0)</f>
        <v>0</v>
      </c>
    </row>
    <row r="741" spans="1:21" x14ac:dyDescent="0.3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  <c r="U741">
        <f>IF(ChurnData[[#This Row],[churn]]="yes",1,0)</f>
        <v>0</v>
      </c>
    </row>
    <row r="742" spans="1:21" x14ac:dyDescent="0.3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  <c r="U742">
        <f>IF(ChurnData[[#This Row],[churn]]="yes",1,0)</f>
        <v>0</v>
      </c>
    </row>
    <row r="743" spans="1:21" x14ac:dyDescent="0.3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  <c r="U743">
        <f>IF(ChurnData[[#This Row],[churn]]="yes",1,0)</f>
        <v>0</v>
      </c>
    </row>
    <row r="744" spans="1:21" x14ac:dyDescent="0.3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  <c r="U744">
        <f>IF(ChurnData[[#This Row],[churn]]="yes",1,0)</f>
        <v>0</v>
      </c>
    </row>
    <row r="745" spans="1:21" x14ac:dyDescent="0.3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  <c r="U745">
        <f>IF(ChurnData[[#This Row],[churn]]="yes",1,0)</f>
        <v>0</v>
      </c>
    </row>
    <row r="746" spans="1:21" x14ac:dyDescent="0.3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  <c r="U746">
        <f>IF(ChurnData[[#This Row],[churn]]="yes",1,0)</f>
        <v>0</v>
      </c>
    </row>
    <row r="747" spans="1:21" x14ac:dyDescent="0.3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  <c r="U747">
        <f>IF(ChurnData[[#This Row],[churn]]="yes",1,0)</f>
        <v>0</v>
      </c>
    </row>
    <row r="748" spans="1:21" x14ac:dyDescent="0.3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  <c r="U748">
        <f>IF(ChurnData[[#This Row],[churn]]="yes",1,0)</f>
        <v>0</v>
      </c>
    </row>
    <row r="749" spans="1:21" x14ac:dyDescent="0.3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  <c r="U749">
        <f>IF(ChurnData[[#This Row],[churn]]="yes",1,0)</f>
        <v>1</v>
      </c>
    </row>
    <row r="750" spans="1:21" x14ac:dyDescent="0.3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  <c r="U750">
        <f>IF(ChurnData[[#This Row],[churn]]="yes",1,0)</f>
        <v>0</v>
      </c>
    </row>
    <row r="751" spans="1:21" x14ac:dyDescent="0.3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  <c r="U751">
        <f>IF(ChurnData[[#This Row],[churn]]="yes",1,0)</f>
        <v>1</v>
      </c>
    </row>
    <row r="752" spans="1:21" x14ac:dyDescent="0.3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  <c r="U752">
        <f>IF(ChurnData[[#This Row],[churn]]="yes",1,0)</f>
        <v>0</v>
      </c>
    </row>
    <row r="753" spans="1:21" x14ac:dyDescent="0.3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  <c r="U753">
        <f>IF(ChurnData[[#This Row],[churn]]="yes",1,0)</f>
        <v>0</v>
      </c>
    </row>
    <row r="754" spans="1:21" x14ac:dyDescent="0.3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  <c r="U754">
        <f>IF(ChurnData[[#This Row],[churn]]="yes",1,0)</f>
        <v>0</v>
      </c>
    </row>
    <row r="755" spans="1:21" x14ac:dyDescent="0.3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  <c r="U755">
        <f>IF(ChurnData[[#This Row],[churn]]="yes",1,0)</f>
        <v>1</v>
      </c>
    </row>
    <row r="756" spans="1:21" x14ac:dyDescent="0.3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  <c r="U756">
        <f>IF(ChurnData[[#This Row],[churn]]="yes",1,0)</f>
        <v>0</v>
      </c>
    </row>
    <row r="757" spans="1:21" x14ac:dyDescent="0.3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  <c r="U757">
        <f>IF(ChurnData[[#This Row],[churn]]="yes",1,0)</f>
        <v>0</v>
      </c>
    </row>
    <row r="758" spans="1:21" x14ac:dyDescent="0.3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  <c r="U758">
        <f>IF(ChurnData[[#This Row],[churn]]="yes",1,0)</f>
        <v>1</v>
      </c>
    </row>
    <row r="759" spans="1:21" x14ac:dyDescent="0.3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  <c r="U759">
        <f>IF(ChurnData[[#This Row],[churn]]="yes",1,0)</f>
        <v>1</v>
      </c>
    </row>
    <row r="760" spans="1:21" x14ac:dyDescent="0.3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  <c r="U760">
        <f>IF(ChurnData[[#This Row],[churn]]="yes",1,0)</f>
        <v>0</v>
      </c>
    </row>
    <row r="761" spans="1:21" x14ac:dyDescent="0.3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  <c r="U761">
        <f>IF(ChurnData[[#This Row],[churn]]="yes",1,0)</f>
        <v>0</v>
      </c>
    </row>
    <row r="762" spans="1:21" x14ac:dyDescent="0.3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  <c r="U762">
        <f>IF(ChurnData[[#This Row],[churn]]="yes",1,0)</f>
        <v>0</v>
      </c>
    </row>
    <row r="763" spans="1:21" x14ac:dyDescent="0.3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  <c r="U763">
        <f>IF(ChurnData[[#This Row],[churn]]="yes",1,0)</f>
        <v>0</v>
      </c>
    </row>
    <row r="764" spans="1:21" x14ac:dyDescent="0.3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  <c r="U764">
        <f>IF(ChurnData[[#This Row],[churn]]="yes",1,0)</f>
        <v>0</v>
      </c>
    </row>
    <row r="765" spans="1:21" x14ac:dyDescent="0.3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  <c r="U765">
        <f>IF(ChurnData[[#This Row],[churn]]="yes",1,0)</f>
        <v>0</v>
      </c>
    </row>
    <row r="766" spans="1:21" x14ac:dyDescent="0.3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  <c r="U766">
        <f>IF(ChurnData[[#This Row],[churn]]="yes",1,0)</f>
        <v>1</v>
      </c>
    </row>
    <row r="767" spans="1:21" x14ac:dyDescent="0.3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  <c r="U767">
        <f>IF(ChurnData[[#This Row],[churn]]="yes",1,0)</f>
        <v>0</v>
      </c>
    </row>
    <row r="768" spans="1:21" x14ac:dyDescent="0.3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  <c r="U768">
        <f>IF(ChurnData[[#This Row],[churn]]="yes",1,0)</f>
        <v>0</v>
      </c>
    </row>
    <row r="769" spans="1:21" x14ac:dyDescent="0.3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  <c r="U769">
        <f>IF(ChurnData[[#This Row],[churn]]="yes",1,0)</f>
        <v>0</v>
      </c>
    </row>
    <row r="770" spans="1:21" x14ac:dyDescent="0.3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  <c r="U770">
        <f>IF(ChurnData[[#This Row],[churn]]="yes",1,0)</f>
        <v>0</v>
      </c>
    </row>
    <row r="771" spans="1:21" x14ac:dyDescent="0.3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  <c r="U771">
        <f>IF(ChurnData[[#This Row],[churn]]="yes",1,0)</f>
        <v>0</v>
      </c>
    </row>
    <row r="772" spans="1:21" x14ac:dyDescent="0.3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  <c r="U772">
        <f>IF(ChurnData[[#This Row],[churn]]="yes",1,0)</f>
        <v>0</v>
      </c>
    </row>
    <row r="773" spans="1:21" x14ac:dyDescent="0.3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  <c r="U773">
        <f>IF(ChurnData[[#This Row],[churn]]="yes",1,0)</f>
        <v>0</v>
      </c>
    </row>
    <row r="774" spans="1:21" x14ac:dyDescent="0.3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  <c r="U774">
        <f>IF(ChurnData[[#This Row],[churn]]="yes",1,0)</f>
        <v>0</v>
      </c>
    </row>
    <row r="775" spans="1:21" x14ac:dyDescent="0.3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  <c r="U775">
        <f>IF(ChurnData[[#This Row],[churn]]="yes",1,0)</f>
        <v>0</v>
      </c>
    </row>
    <row r="776" spans="1:21" x14ac:dyDescent="0.3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  <c r="U776">
        <f>IF(ChurnData[[#This Row],[churn]]="yes",1,0)</f>
        <v>0</v>
      </c>
    </row>
    <row r="777" spans="1:21" x14ac:dyDescent="0.3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  <c r="U777">
        <f>IF(ChurnData[[#This Row],[churn]]="yes",1,0)</f>
        <v>0</v>
      </c>
    </row>
    <row r="778" spans="1:21" x14ac:dyDescent="0.3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  <c r="U778">
        <f>IF(ChurnData[[#This Row],[churn]]="yes",1,0)</f>
        <v>0</v>
      </c>
    </row>
    <row r="779" spans="1:21" x14ac:dyDescent="0.3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  <c r="U779">
        <f>IF(ChurnData[[#This Row],[churn]]="yes",1,0)</f>
        <v>0</v>
      </c>
    </row>
    <row r="780" spans="1:21" x14ac:dyDescent="0.3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  <c r="U780">
        <f>IF(ChurnData[[#This Row],[churn]]="yes",1,0)</f>
        <v>0</v>
      </c>
    </row>
    <row r="781" spans="1:21" x14ac:dyDescent="0.3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  <c r="U781">
        <f>IF(ChurnData[[#This Row],[churn]]="yes",1,0)</f>
        <v>1</v>
      </c>
    </row>
    <row r="782" spans="1:21" x14ac:dyDescent="0.3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  <c r="U782">
        <f>IF(ChurnData[[#This Row],[churn]]="yes",1,0)</f>
        <v>0</v>
      </c>
    </row>
    <row r="783" spans="1:21" x14ac:dyDescent="0.3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  <c r="U783">
        <f>IF(ChurnData[[#This Row],[churn]]="yes",1,0)</f>
        <v>0</v>
      </c>
    </row>
    <row r="784" spans="1:21" x14ac:dyDescent="0.3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  <c r="U784">
        <f>IF(ChurnData[[#This Row],[churn]]="yes",1,0)</f>
        <v>0</v>
      </c>
    </row>
    <row r="785" spans="1:21" x14ac:dyDescent="0.3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  <c r="U785">
        <f>IF(ChurnData[[#This Row],[churn]]="yes",1,0)</f>
        <v>0</v>
      </c>
    </row>
    <row r="786" spans="1:21" x14ac:dyDescent="0.3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  <c r="U786">
        <f>IF(ChurnData[[#This Row],[churn]]="yes",1,0)</f>
        <v>0</v>
      </c>
    </row>
    <row r="787" spans="1:21" x14ac:dyDescent="0.3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  <c r="U787">
        <f>IF(ChurnData[[#This Row],[churn]]="yes",1,0)</f>
        <v>0</v>
      </c>
    </row>
    <row r="788" spans="1:21" x14ac:dyDescent="0.3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  <c r="U788">
        <f>IF(ChurnData[[#This Row],[churn]]="yes",1,0)</f>
        <v>0</v>
      </c>
    </row>
    <row r="789" spans="1:21" x14ac:dyDescent="0.3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  <c r="U789">
        <f>IF(ChurnData[[#This Row],[churn]]="yes",1,0)</f>
        <v>0</v>
      </c>
    </row>
    <row r="790" spans="1:21" x14ac:dyDescent="0.3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  <c r="U790">
        <f>IF(ChurnData[[#This Row],[churn]]="yes",1,0)</f>
        <v>0</v>
      </c>
    </row>
    <row r="791" spans="1:21" x14ac:dyDescent="0.3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  <c r="U791">
        <f>IF(ChurnData[[#This Row],[churn]]="yes",1,0)</f>
        <v>1</v>
      </c>
    </row>
    <row r="792" spans="1:21" x14ac:dyDescent="0.3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  <c r="U792">
        <f>IF(ChurnData[[#This Row],[churn]]="yes",1,0)</f>
        <v>0</v>
      </c>
    </row>
    <row r="793" spans="1:21" x14ac:dyDescent="0.3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  <c r="U793">
        <f>IF(ChurnData[[#This Row],[churn]]="yes",1,0)</f>
        <v>1</v>
      </c>
    </row>
    <row r="794" spans="1:21" x14ac:dyDescent="0.3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  <c r="U794">
        <f>IF(ChurnData[[#This Row],[churn]]="yes",1,0)</f>
        <v>0</v>
      </c>
    </row>
    <row r="795" spans="1:21" x14ac:dyDescent="0.3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  <c r="U795">
        <f>IF(ChurnData[[#This Row],[churn]]="yes",1,0)</f>
        <v>0</v>
      </c>
    </row>
    <row r="796" spans="1:21" x14ac:dyDescent="0.3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  <c r="U796">
        <f>IF(ChurnData[[#This Row],[churn]]="yes",1,0)</f>
        <v>0</v>
      </c>
    </row>
    <row r="797" spans="1:21" x14ac:dyDescent="0.3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  <c r="U797">
        <f>IF(ChurnData[[#This Row],[churn]]="yes",1,0)</f>
        <v>0</v>
      </c>
    </row>
    <row r="798" spans="1:21" x14ac:dyDescent="0.3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  <c r="U798">
        <f>IF(ChurnData[[#This Row],[churn]]="yes",1,0)</f>
        <v>0</v>
      </c>
    </row>
    <row r="799" spans="1:21" x14ac:dyDescent="0.3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  <c r="U799">
        <f>IF(ChurnData[[#This Row],[churn]]="yes",1,0)</f>
        <v>0</v>
      </c>
    </row>
    <row r="800" spans="1:21" x14ac:dyDescent="0.3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  <c r="U800">
        <f>IF(ChurnData[[#This Row],[churn]]="yes",1,0)</f>
        <v>0</v>
      </c>
    </row>
    <row r="801" spans="1:21" x14ac:dyDescent="0.3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  <c r="U801">
        <f>IF(ChurnData[[#This Row],[churn]]="yes",1,0)</f>
        <v>0</v>
      </c>
    </row>
    <row r="802" spans="1:21" x14ac:dyDescent="0.3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  <c r="U802">
        <f>IF(ChurnData[[#This Row],[churn]]="yes",1,0)</f>
        <v>0</v>
      </c>
    </row>
    <row r="803" spans="1:21" x14ac:dyDescent="0.3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  <c r="U803">
        <f>IF(ChurnData[[#This Row],[churn]]="yes",1,0)</f>
        <v>0</v>
      </c>
    </row>
    <row r="804" spans="1:21" x14ac:dyDescent="0.3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  <c r="U804">
        <f>IF(ChurnData[[#This Row],[churn]]="yes",1,0)</f>
        <v>0</v>
      </c>
    </row>
    <row r="805" spans="1:21" x14ac:dyDescent="0.3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  <c r="U805">
        <f>IF(ChurnData[[#This Row],[churn]]="yes",1,0)</f>
        <v>0</v>
      </c>
    </row>
    <row r="806" spans="1:21" x14ac:dyDescent="0.3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  <c r="U806">
        <f>IF(ChurnData[[#This Row],[churn]]="yes",1,0)</f>
        <v>0</v>
      </c>
    </row>
    <row r="807" spans="1:21" x14ac:dyDescent="0.3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  <c r="U807">
        <f>IF(ChurnData[[#This Row],[churn]]="yes",1,0)</f>
        <v>0</v>
      </c>
    </row>
    <row r="808" spans="1:21" x14ac:dyDescent="0.3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  <c r="U808">
        <f>IF(ChurnData[[#This Row],[churn]]="yes",1,0)</f>
        <v>0</v>
      </c>
    </row>
    <row r="809" spans="1:21" x14ac:dyDescent="0.3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  <c r="U809">
        <f>IF(ChurnData[[#This Row],[churn]]="yes",1,0)</f>
        <v>0</v>
      </c>
    </row>
    <row r="810" spans="1:21" x14ac:dyDescent="0.3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  <c r="U810">
        <f>IF(ChurnData[[#This Row],[churn]]="yes",1,0)</f>
        <v>1</v>
      </c>
    </row>
    <row r="811" spans="1:21" x14ac:dyDescent="0.3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  <c r="U811">
        <f>IF(ChurnData[[#This Row],[churn]]="yes",1,0)</f>
        <v>0</v>
      </c>
    </row>
    <row r="812" spans="1:21" x14ac:dyDescent="0.3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  <c r="U812">
        <f>IF(ChurnData[[#This Row],[churn]]="yes",1,0)</f>
        <v>1</v>
      </c>
    </row>
    <row r="813" spans="1:21" x14ac:dyDescent="0.3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  <c r="U813">
        <f>IF(ChurnData[[#This Row],[churn]]="yes",1,0)</f>
        <v>0</v>
      </c>
    </row>
    <row r="814" spans="1:21" x14ac:dyDescent="0.3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  <c r="U814">
        <f>IF(ChurnData[[#This Row],[churn]]="yes",1,0)</f>
        <v>0</v>
      </c>
    </row>
    <row r="815" spans="1:21" x14ac:dyDescent="0.3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  <c r="U815">
        <f>IF(ChurnData[[#This Row],[churn]]="yes",1,0)</f>
        <v>0</v>
      </c>
    </row>
    <row r="816" spans="1:21" x14ac:dyDescent="0.3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  <c r="U816">
        <f>IF(ChurnData[[#This Row],[churn]]="yes",1,0)</f>
        <v>0</v>
      </c>
    </row>
    <row r="817" spans="1:21" x14ac:dyDescent="0.3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  <c r="U817">
        <f>IF(ChurnData[[#This Row],[churn]]="yes",1,0)</f>
        <v>0</v>
      </c>
    </row>
    <row r="818" spans="1:21" x14ac:dyDescent="0.3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  <c r="U818">
        <f>IF(ChurnData[[#This Row],[churn]]="yes",1,0)</f>
        <v>0</v>
      </c>
    </row>
    <row r="819" spans="1:21" x14ac:dyDescent="0.3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  <c r="U819">
        <f>IF(ChurnData[[#This Row],[churn]]="yes",1,0)</f>
        <v>1</v>
      </c>
    </row>
    <row r="820" spans="1:21" x14ac:dyDescent="0.3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  <c r="U820">
        <f>IF(ChurnData[[#This Row],[churn]]="yes",1,0)</f>
        <v>0</v>
      </c>
    </row>
    <row r="821" spans="1:21" x14ac:dyDescent="0.3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  <c r="U821">
        <f>IF(ChurnData[[#This Row],[churn]]="yes",1,0)</f>
        <v>1</v>
      </c>
    </row>
    <row r="822" spans="1:21" x14ac:dyDescent="0.3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  <c r="U822">
        <f>IF(ChurnData[[#This Row],[churn]]="yes",1,0)</f>
        <v>1</v>
      </c>
    </row>
    <row r="823" spans="1:21" x14ac:dyDescent="0.3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  <c r="U823">
        <f>IF(ChurnData[[#This Row],[churn]]="yes",1,0)</f>
        <v>0</v>
      </c>
    </row>
    <row r="824" spans="1:21" x14ac:dyDescent="0.3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  <c r="U824">
        <f>IF(ChurnData[[#This Row],[churn]]="yes",1,0)</f>
        <v>0</v>
      </c>
    </row>
    <row r="825" spans="1:21" x14ac:dyDescent="0.3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  <c r="U825">
        <f>IF(ChurnData[[#This Row],[churn]]="yes",1,0)</f>
        <v>0</v>
      </c>
    </row>
    <row r="826" spans="1:21" x14ac:dyDescent="0.3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  <c r="U826">
        <f>IF(ChurnData[[#This Row],[churn]]="yes",1,0)</f>
        <v>0</v>
      </c>
    </row>
    <row r="827" spans="1:21" x14ac:dyDescent="0.3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  <c r="U827">
        <f>IF(ChurnData[[#This Row],[churn]]="yes",1,0)</f>
        <v>0</v>
      </c>
    </row>
    <row r="828" spans="1:21" x14ac:dyDescent="0.3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  <c r="U828">
        <f>IF(ChurnData[[#This Row],[churn]]="yes",1,0)</f>
        <v>0</v>
      </c>
    </row>
    <row r="829" spans="1:21" x14ac:dyDescent="0.3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  <c r="U829">
        <f>IF(ChurnData[[#This Row],[churn]]="yes",1,0)</f>
        <v>1</v>
      </c>
    </row>
    <row r="830" spans="1:21" x14ac:dyDescent="0.3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  <c r="U830">
        <f>IF(ChurnData[[#This Row],[churn]]="yes",1,0)</f>
        <v>0</v>
      </c>
    </row>
    <row r="831" spans="1:21" x14ac:dyDescent="0.3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  <c r="U831">
        <f>IF(ChurnData[[#This Row],[churn]]="yes",1,0)</f>
        <v>1</v>
      </c>
    </row>
    <row r="832" spans="1:21" x14ac:dyDescent="0.3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  <c r="U832">
        <f>IF(ChurnData[[#This Row],[churn]]="yes",1,0)</f>
        <v>0</v>
      </c>
    </row>
    <row r="833" spans="1:21" x14ac:dyDescent="0.3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  <c r="U833">
        <f>IF(ChurnData[[#This Row],[churn]]="yes",1,0)</f>
        <v>0</v>
      </c>
    </row>
    <row r="834" spans="1:21" x14ac:dyDescent="0.3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  <c r="U834">
        <f>IF(ChurnData[[#This Row],[churn]]="yes",1,0)</f>
        <v>0</v>
      </c>
    </row>
    <row r="835" spans="1:21" x14ac:dyDescent="0.3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  <c r="U835">
        <f>IF(ChurnData[[#This Row],[churn]]="yes",1,0)</f>
        <v>0</v>
      </c>
    </row>
    <row r="836" spans="1:21" x14ac:dyDescent="0.3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  <c r="U836">
        <f>IF(ChurnData[[#This Row],[churn]]="yes",1,0)</f>
        <v>0</v>
      </c>
    </row>
    <row r="837" spans="1:21" x14ac:dyDescent="0.3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  <c r="U837">
        <f>IF(ChurnData[[#This Row],[churn]]="yes",1,0)</f>
        <v>0</v>
      </c>
    </row>
    <row r="838" spans="1:21" x14ac:dyDescent="0.3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  <c r="U838">
        <f>IF(ChurnData[[#This Row],[churn]]="yes",1,0)</f>
        <v>0</v>
      </c>
    </row>
    <row r="839" spans="1:21" x14ac:dyDescent="0.3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  <c r="U839">
        <f>IF(ChurnData[[#This Row],[churn]]="yes",1,0)</f>
        <v>0</v>
      </c>
    </row>
    <row r="840" spans="1:21" x14ac:dyDescent="0.3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  <c r="U840">
        <f>IF(ChurnData[[#This Row],[churn]]="yes",1,0)</f>
        <v>0</v>
      </c>
    </row>
    <row r="841" spans="1:21" x14ac:dyDescent="0.3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  <c r="U841">
        <f>IF(ChurnData[[#This Row],[churn]]="yes",1,0)</f>
        <v>0</v>
      </c>
    </row>
    <row r="842" spans="1:21" x14ac:dyDescent="0.3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  <c r="U842">
        <f>IF(ChurnData[[#This Row],[churn]]="yes",1,0)</f>
        <v>0</v>
      </c>
    </row>
    <row r="843" spans="1:21" x14ac:dyDescent="0.3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  <c r="U843">
        <f>IF(ChurnData[[#This Row],[churn]]="yes",1,0)</f>
        <v>0</v>
      </c>
    </row>
    <row r="844" spans="1:21" x14ac:dyDescent="0.3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  <c r="U844">
        <f>IF(ChurnData[[#This Row],[churn]]="yes",1,0)</f>
        <v>0</v>
      </c>
    </row>
    <row r="845" spans="1:21" x14ac:dyDescent="0.3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  <c r="U845">
        <f>IF(ChurnData[[#This Row],[churn]]="yes",1,0)</f>
        <v>0</v>
      </c>
    </row>
    <row r="846" spans="1:21" x14ac:dyDescent="0.3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  <c r="U846">
        <f>IF(ChurnData[[#This Row],[churn]]="yes",1,0)</f>
        <v>0</v>
      </c>
    </row>
    <row r="847" spans="1:21" x14ac:dyDescent="0.3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  <c r="U847">
        <f>IF(ChurnData[[#This Row],[churn]]="yes",1,0)</f>
        <v>0</v>
      </c>
    </row>
    <row r="848" spans="1:21" x14ac:dyDescent="0.3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  <c r="U848">
        <f>IF(ChurnData[[#This Row],[churn]]="yes",1,0)</f>
        <v>0</v>
      </c>
    </row>
    <row r="849" spans="1:21" x14ac:dyDescent="0.3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  <c r="U849">
        <f>IF(ChurnData[[#This Row],[churn]]="yes",1,0)</f>
        <v>0</v>
      </c>
    </row>
    <row r="850" spans="1:21" x14ac:dyDescent="0.3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  <c r="U850">
        <f>IF(ChurnData[[#This Row],[churn]]="yes",1,0)</f>
        <v>0</v>
      </c>
    </row>
    <row r="851" spans="1:21" x14ac:dyDescent="0.3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  <c r="U851">
        <f>IF(ChurnData[[#This Row],[churn]]="yes",1,0)</f>
        <v>0</v>
      </c>
    </row>
    <row r="852" spans="1:21" x14ac:dyDescent="0.3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  <c r="U852">
        <f>IF(ChurnData[[#This Row],[churn]]="yes",1,0)</f>
        <v>0</v>
      </c>
    </row>
    <row r="853" spans="1:21" x14ac:dyDescent="0.3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  <c r="U853">
        <f>IF(ChurnData[[#This Row],[churn]]="yes",1,0)</f>
        <v>0</v>
      </c>
    </row>
    <row r="854" spans="1:21" x14ac:dyDescent="0.3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  <c r="U854">
        <f>IF(ChurnData[[#This Row],[churn]]="yes",1,0)</f>
        <v>0</v>
      </c>
    </row>
    <row r="855" spans="1:21" x14ac:dyDescent="0.3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  <c r="U855">
        <f>IF(ChurnData[[#This Row],[churn]]="yes",1,0)</f>
        <v>0</v>
      </c>
    </row>
    <row r="856" spans="1:21" x14ac:dyDescent="0.3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  <c r="U856">
        <f>IF(ChurnData[[#This Row],[churn]]="yes",1,0)</f>
        <v>1</v>
      </c>
    </row>
    <row r="857" spans="1:21" x14ac:dyDescent="0.3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  <c r="U857">
        <f>IF(ChurnData[[#This Row],[churn]]="yes",1,0)</f>
        <v>0</v>
      </c>
    </row>
    <row r="858" spans="1:21" x14ac:dyDescent="0.3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  <c r="U858">
        <f>IF(ChurnData[[#This Row],[churn]]="yes",1,0)</f>
        <v>0</v>
      </c>
    </row>
    <row r="859" spans="1:21" x14ac:dyDescent="0.3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  <c r="U859">
        <f>IF(ChurnData[[#This Row],[churn]]="yes",1,0)</f>
        <v>0</v>
      </c>
    </row>
    <row r="860" spans="1:21" x14ac:dyDescent="0.3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  <c r="U860">
        <f>IF(ChurnData[[#This Row],[churn]]="yes",1,0)</f>
        <v>0</v>
      </c>
    </row>
    <row r="861" spans="1:21" x14ac:dyDescent="0.3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  <c r="U861">
        <f>IF(ChurnData[[#This Row],[churn]]="yes",1,0)</f>
        <v>0</v>
      </c>
    </row>
    <row r="862" spans="1:21" x14ac:dyDescent="0.3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  <c r="U862">
        <f>IF(ChurnData[[#This Row],[churn]]="yes",1,0)</f>
        <v>0</v>
      </c>
    </row>
    <row r="863" spans="1:21" x14ac:dyDescent="0.3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  <c r="U863">
        <f>IF(ChurnData[[#This Row],[churn]]="yes",1,0)</f>
        <v>0</v>
      </c>
    </row>
    <row r="864" spans="1:21" x14ac:dyDescent="0.3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  <c r="U864">
        <f>IF(ChurnData[[#This Row],[churn]]="yes",1,0)</f>
        <v>1</v>
      </c>
    </row>
    <row r="865" spans="1:21" x14ac:dyDescent="0.3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  <c r="U865">
        <f>IF(ChurnData[[#This Row],[churn]]="yes",1,0)</f>
        <v>0</v>
      </c>
    </row>
    <row r="866" spans="1:21" x14ac:dyDescent="0.3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  <c r="U866">
        <f>IF(ChurnData[[#This Row],[churn]]="yes",1,0)</f>
        <v>1</v>
      </c>
    </row>
    <row r="867" spans="1:21" x14ac:dyDescent="0.3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  <c r="U867">
        <f>IF(ChurnData[[#This Row],[churn]]="yes",1,0)</f>
        <v>0</v>
      </c>
    </row>
    <row r="868" spans="1:21" x14ac:dyDescent="0.3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  <c r="U868">
        <f>IF(ChurnData[[#This Row],[churn]]="yes",1,0)</f>
        <v>0</v>
      </c>
    </row>
    <row r="869" spans="1:21" x14ac:dyDescent="0.3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  <c r="U869">
        <f>IF(ChurnData[[#This Row],[churn]]="yes",1,0)</f>
        <v>0</v>
      </c>
    </row>
    <row r="870" spans="1:21" x14ac:dyDescent="0.3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  <c r="U870">
        <f>IF(ChurnData[[#This Row],[churn]]="yes",1,0)</f>
        <v>0</v>
      </c>
    </row>
    <row r="871" spans="1:21" x14ac:dyDescent="0.3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  <c r="U871">
        <f>IF(ChurnData[[#This Row],[churn]]="yes",1,0)</f>
        <v>0</v>
      </c>
    </row>
    <row r="872" spans="1:21" x14ac:dyDescent="0.3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  <c r="U872">
        <f>IF(ChurnData[[#This Row],[churn]]="yes",1,0)</f>
        <v>1</v>
      </c>
    </row>
    <row r="873" spans="1:21" x14ac:dyDescent="0.3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  <c r="U873">
        <f>IF(ChurnData[[#This Row],[churn]]="yes",1,0)</f>
        <v>0</v>
      </c>
    </row>
    <row r="874" spans="1:21" x14ac:dyDescent="0.3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  <c r="U874">
        <f>IF(ChurnData[[#This Row],[churn]]="yes",1,0)</f>
        <v>0</v>
      </c>
    </row>
    <row r="875" spans="1:21" x14ac:dyDescent="0.3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  <c r="U875">
        <f>IF(ChurnData[[#This Row],[churn]]="yes",1,0)</f>
        <v>0</v>
      </c>
    </row>
    <row r="876" spans="1:21" x14ac:dyDescent="0.3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  <c r="U876">
        <f>IF(ChurnData[[#This Row],[churn]]="yes",1,0)</f>
        <v>0</v>
      </c>
    </row>
    <row r="877" spans="1:21" x14ac:dyDescent="0.3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  <c r="U877">
        <f>IF(ChurnData[[#This Row],[churn]]="yes",1,0)</f>
        <v>0</v>
      </c>
    </row>
    <row r="878" spans="1:21" x14ac:dyDescent="0.3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  <c r="U878">
        <f>IF(ChurnData[[#This Row],[churn]]="yes",1,0)</f>
        <v>0</v>
      </c>
    </row>
    <row r="879" spans="1:21" x14ac:dyDescent="0.3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  <c r="U879">
        <f>IF(ChurnData[[#This Row],[churn]]="yes",1,0)</f>
        <v>0</v>
      </c>
    </row>
    <row r="880" spans="1:21" x14ac:dyDescent="0.3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  <c r="U880">
        <f>IF(ChurnData[[#This Row],[churn]]="yes",1,0)</f>
        <v>0</v>
      </c>
    </row>
    <row r="881" spans="1:21" x14ac:dyDescent="0.3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  <c r="U881">
        <f>IF(ChurnData[[#This Row],[churn]]="yes",1,0)</f>
        <v>0</v>
      </c>
    </row>
    <row r="882" spans="1:21" x14ac:dyDescent="0.3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  <c r="U882">
        <f>IF(ChurnData[[#This Row],[churn]]="yes",1,0)</f>
        <v>0</v>
      </c>
    </row>
    <row r="883" spans="1:21" x14ac:dyDescent="0.3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  <c r="U883">
        <f>IF(ChurnData[[#This Row],[churn]]="yes",1,0)</f>
        <v>0</v>
      </c>
    </row>
    <row r="884" spans="1:21" x14ac:dyDescent="0.3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  <c r="U884">
        <f>IF(ChurnData[[#This Row],[churn]]="yes",1,0)</f>
        <v>0</v>
      </c>
    </row>
    <row r="885" spans="1:21" x14ac:dyDescent="0.3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  <c r="U885">
        <f>IF(ChurnData[[#This Row],[churn]]="yes",1,0)</f>
        <v>0</v>
      </c>
    </row>
    <row r="886" spans="1:21" x14ac:dyDescent="0.3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  <c r="U886">
        <f>IF(ChurnData[[#This Row],[churn]]="yes",1,0)</f>
        <v>0</v>
      </c>
    </row>
    <row r="887" spans="1:21" x14ac:dyDescent="0.3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  <c r="U887">
        <f>IF(ChurnData[[#This Row],[churn]]="yes",1,0)</f>
        <v>0</v>
      </c>
    </row>
    <row r="888" spans="1:21" x14ac:dyDescent="0.3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  <c r="U888">
        <f>IF(ChurnData[[#This Row],[churn]]="yes",1,0)</f>
        <v>0</v>
      </c>
    </row>
    <row r="889" spans="1:21" x14ac:dyDescent="0.3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  <c r="U889">
        <f>IF(ChurnData[[#This Row],[churn]]="yes",1,0)</f>
        <v>0</v>
      </c>
    </row>
    <row r="890" spans="1:21" x14ac:dyDescent="0.3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  <c r="U890">
        <f>IF(ChurnData[[#This Row],[churn]]="yes",1,0)</f>
        <v>0</v>
      </c>
    </row>
    <row r="891" spans="1:21" x14ac:dyDescent="0.3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  <c r="U891">
        <f>IF(ChurnData[[#This Row],[churn]]="yes",1,0)</f>
        <v>0</v>
      </c>
    </row>
    <row r="892" spans="1:21" x14ac:dyDescent="0.3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  <c r="U892">
        <f>IF(ChurnData[[#This Row],[churn]]="yes",1,0)</f>
        <v>0</v>
      </c>
    </row>
    <row r="893" spans="1:21" x14ac:dyDescent="0.3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  <c r="U893">
        <f>IF(ChurnData[[#This Row],[churn]]="yes",1,0)</f>
        <v>0</v>
      </c>
    </row>
    <row r="894" spans="1:21" x14ac:dyDescent="0.3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  <c r="U894">
        <f>IF(ChurnData[[#This Row],[churn]]="yes",1,0)</f>
        <v>0</v>
      </c>
    </row>
    <row r="895" spans="1:21" x14ac:dyDescent="0.3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  <c r="U895">
        <f>IF(ChurnData[[#This Row],[churn]]="yes",1,0)</f>
        <v>0</v>
      </c>
    </row>
    <row r="896" spans="1:21" x14ac:dyDescent="0.3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  <c r="U896">
        <f>IF(ChurnData[[#This Row],[churn]]="yes",1,0)</f>
        <v>0</v>
      </c>
    </row>
    <row r="897" spans="1:21" x14ac:dyDescent="0.3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  <c r="U897">
        <f>IF(ChurnData[[#This Row],[churn]]="yes",1,0)</f>
        <v>0</v>
      </c>
    </row>
    <row r="898" spans="1:21" x14ac:dyDescent="0.3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  <c r="U898">
        <f>IF(ChurnData[[#This Row],[churn]]="yes",1,0)</f>
        <v>0</v>
      </c>
    </row>
    <row r="899" spans="1:21" x14ac:dyDescent="0.3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  <c r="U899">
        <f>IF(ChurnData[[#This Row],[churn]]="yes",1,0)</f>
        <v>0</v>
      </c>
    </row>
    <row r="900" spans="1:21" x14ac:dyDescent="0.3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  <c r="U900">
        <f>IF(ChurnData[[#This Row],[churn]]="yes",1,0)</f>
        <v>0</v>
      </c>
    </row>
    <row r="901" spans="1:21" x14ac:dyDescent="0.3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  <c r="U901">
        <f>IF(ChurnData[[#This Row],[churn]]="yes",1,0)</f>
        <v>0</v>
      </c>
    </row>
    <row r="902" spans="1:21" x14ac:dyDescent="0.3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  <c r="U902">
        <f>IF(ChurnData[[#This Row],[churn]]="yes",1,0)</f>
        <v>0</v>
      </c>
    </row>
    <row r="903" spans="1:21" x14ac:dyDescent="0.3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  <c r="U903">
        <f>IF(ChurnData[[#This Row],[churn]]="yes",1,0)</f>
        <v>1</v>
      </c>
    </row>
    <row r="904" spans="1:21" x14ac:dyDescent="0.3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  <c r="U904">
        <f>IF(ChurnData[[#This Row],[churn]]="yes",1,0)</f>
        <v>0</v>
      </c>
    </row>
    <row r="905" spans="1:21" x14ac:dyDescent="0.3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  <c r="U905">
        <f>IF(ChurnData[[#This Row],[churn]]="yes",1,0)</f>
        <v>0</v>
      </c>
    </row>
    <row r="906" spans="1:21" x14ac:dyDescent="0.3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  <c r="U906">
        <f>IF(ChurnData[[#This Row],[churn]]="yes",1,0)</f>
        <v>0</v>
      </c>
    </row>
    <row r="907" spans="1:21" x14ac:dyDescent="0.3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  <c r="U907">
        <f>IF(ChurnData[[#This Row],[churn]]="yes",1,0)</f>
        <v>0</v>
      </c>
    </row>
    <row r="908" spans="1:21" x14ac:dyDescent="0.3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  <c r="U908">
        <f>IF(ChurnData[[#This Row],[churn]]="yes",1,0)</f>
        <v>0</v>
      </c>
    </row>
    <row r="909" spans="1:21" x14ac:dyDescent="0.3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  <c r="U909">
        <f>IF(ChurnData[[#This Row],[churn]]="yes",1,0)</f>
        <v>0</v>
      </c>
    </row>
    <row r="910" spans="1:21" x14ac:dyDescent="0.3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  <c r="U910">
        <f>IF(ChurnData[[#This Row],[churn]]="yes",1,0)</f>
        <v>0</v>
      </c>
    </row>
    <row r="911" spans="1:21" x14ac:dyDescent="0.3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  <c r="U911">
        <f>IF(ChurnData[[#This Row],[churn]]="yes",1,0)</f>
        <v>0</v>
      </c>
    </row>
    <row r="912" spans="1:21" x14ac:dyDescent="0.3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  <c r="U912">
        <f>IF(ChurnData[[#This Row],[churn]]="yes",1,0)</f>
        <v>0</v>
      </c>
    </row>
    <row r="913" spans="1:21" x14ac:dyDescent="0.3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  <c r="U913">
        <f>IF(ChurnData[[#This Row],[churn]]="yes",1,0)</f>
        <v>0</v>
      </c>
    </row>
    <row r="914" spans="1:21" x14ac:dyDescent="0.3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  <c r="U914">
        <f>IF(ChurnData[[#This Row],[churn]]="yes",1,0)</f>
        <v>0</v>
      </c>
    </row>
    <row r="915" spans="1:21" x14ac:dyDescent="0.3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  <c r="U915">
        <f>IF(ChurnData[[#This Row],[churn]]="yes",1,0)</f>
        <v>0</v>
      </c>
    </row>
    <row r="916" spans="1:21" x14ac:dyDescent="0.3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  <c r="U916">
        <f>IF(ChurnData[[#This Row],[churn]]="yes",1,0)</f>
        <v>0</v>
      </c>
    </row>
    <row r="917" spans="1:21" x14ac:dyDescent="0.3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  <c r="U917">
        <f>IF(ChurnData[[#This Row],[churn]]="yes",1,0)</f>
        <v>0</v>
      </c>
    </row>
    <row r="918" spans="1:21" x14ac:dyDescent="0.3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  <c r="U918">
        <f>IF(ChurnData[[#This Row],[churn]]="yes",1,0)</f>
        <v>0</v>
      </c>
    </row>
    <row r="919" spans="1:21" x14ac:dyDescent="0.3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  <c r="U919">
        <f>IF(ChurnData[[#This Row],[churn]]="yes",1,0)</f>
        <v>0</v>
      </c>
    </row>
    <row r="920" spans="1:21" x14ac:dyDescent="0.3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  <c r="U920">
        <f>IF(ChurnData[[#This Row],[churn]]="yes",1,0)</f>
        <v>0</v>
      </c>
    </row>
    <row r="921" spans="1:21" x14ac:dyDescent="0.3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  <c r="U921">
        <f>IF(ChurnData[[#This Row],[churn]]="yes",1,0)</f>
        <v>0</v>
      </c>
    </row>
    <row r="922" spans="1:21" x14ac:dyDescent="0.3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  <c r="U922">
        <f>IF(ChurnData[[#This Row],[churn]]="yes",1,0)</f>
        <v>0</v>
      </c>
    </row>
    <row r="923" spans="1:21" x14ac:dyDescent="0.3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  <c r="U923">
        <f>IF(ChurnData[[#This Row],[churn]]="yes",1,0)</f>
        <v>0</v>
      </c>
    </row>
    <row r="924" spans="1:21" x14ac:dyDescent="0.3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  <c r="U924">
        <f>IF(ChurnData[[#This Row],[churn]]="yes",1,0)</f>
        <v>0</v>
      </c>
    </row>
    <row r="925" spans="1:21" x14ac:dyDescent="0.3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  <c r="U925">
        <f>IF(ChurnData[[#This Row],[churn]]="yes",1,0)</f>
        <v>1</v>
      </c>
    </row>
    <row r="926" spans="1:21" x14ac:dyDescent="0.3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  <c r="U926">
        <f>IF(ChurnData[[#This Row],[churn]]="yes",1,0)</f>
        <v>0</v>
      </c>
    </row>
    <row r="927" spans="1:21" x14ac:dyDescent="0.3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  <c r="U927">
        <f>IF(ChurnData[[#This Row],[churn]]="yes",1,0)</f>
        <v>0</v>
      </c>
    </row>
    <row r="928" spans="1:21" x14ac:dyDescent="0.3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  <c r="U928">
        <f>IF(ChurnData[[#This Row],[churn]]="yes",1,0)</f>
        <v>1</v>
      </c>
    </row>
    <row r="929" spans="1:21" x14ac:dyDescent="0.3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  <c r="U929">
        <f>IF(ChurnData[[#This Row],[churn]]="yes",1,0)</f>
        <v>0</v>
      </c>
    </row>
    <row r="930" spans="1:21" x14ac:dyDescent="0.3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  <c r="U930">
        <f>IF(ChurnData[[#This Row],[churn]]="yes",1,0)</f>
        <v>0</v>
      </c>
    </row>
    <row r="931" spans="1:21" x14ac:dyDescent="0.3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  <c r="U931">
        <f>IF(ChurnData[[#This Row],[churn]]="yes",1,0)</f>
        <v>0</v>
      </c>
    </row>
    <row r="932" spans="1:21" x14ac:dyDescent="0.3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  <c r="U932">
        <f>IF(ChurnData[[#This Row],[churn]]="yes",1,0)</f>
        <v>0</v>
      </c>
    </row>
    <row r="933" spans="1:21" x14ac:dyDescent="0.3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  <c r="U933">
        <f>IF(ChurnData[[#This Row],[churn]]="yes",1,0)</f>
        <v>0</v>
      </c>
    </row>
    <row r="934" spans="1:21" x14ac:dyDescent="0.3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  <c r="U934">
        <f>IF(ChurnData[[#This Row],[churn]]="yes",1,0)</f>
        <v>0</v>
      </c>
    </row>
    <row r="935" spans="1:21" x14ac:dyDescent="0.3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  <c r="U935">
        <f>IF(ChurnData[[#This Row],[churn]]="yes",1,0)</f>
        <v>0</v>
      </c>
    </row>
    <row r="936" spans="1:21" x14ac:dyDescent="0.3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  <c r="U936">
        <f>IF(ChurnData[[#This Row],[churn]]="yes",1,0)</f>
        <v>0</v>
      </c>
    </row>
    <row r="937" spans="1:21" x14ac:dyDescent="0.3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  <c r="U937">
        <f>IF(ChurnData[[#This Row],[churn]]="yes",1,0)</f>
        <v>0</v>
      </c>
    </row>
    <row r="938" spans="1:21" x14ac:dyDescent="0.3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  <c r="U938">
        <f>IF(ChurnData[[#This Row],[churn]]="yes",1,0)</f>
        <v>1</v>
      </c>
    </row>
    <row r="939" spans="1:21" x14ac:dyDescent="0.3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  <c r="U939">
        <f>IF(ChurnData[[#This Row],[churn]]="yes",1,0)</f>
        <v>0</v>
      </c>
    </row>
    <row r="940" spans="1:21" x14ac:dyDescent="0.3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  <c r="U940">
        <f>IF(ChurnData[[#This Row],[churn]]="yes",1,0)</f>
        <v>0</v>
      </c>
    </row>
    <row r="941" spans="1:21" x14ac:dyDescent="0.3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  <c r="U941">
        <f>IF(ChurnData[[#This Row],[churn]]="yes",1,0)</f>
        <v>0</v>
      </c>
    </row>
    <row r="942" spans="1:21" x14ac:dyDescent="0.3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  <c r="U942">
        <f>IF(ChurnData[[#This Row],[churn]]="yes",1,0)</f>
        <v>0</v>
      </c>
    </row>
    <row r="943" spans="1:21" x14ac:dyDescent="0.3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  <c r="U943">
        <f>IF(ChurnData[[#This Row],[churn]]="yes",1,0)</f>
        <v>0</v>
      </c>
    </row>
    <row r="944" spans="1:21" x14ac:dyDescent="0.3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  <c r="U944">
        <f>IF(ChurnData[[#This Row],[churn]]="yes",1,0)</f>
        <v>1</v>
      </c>
    </row>
    <row r="945" spans="1:21" x14ac:dyDescent="0.3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  <c r="U945">
        <f>IF(ChurnData[[#This Row],[churn]]="yes",1,0)</f>
        <v>1</v>
      </c>
    </row>
    <row r="946" spans="1:21" x14ac:dyDescent="0.3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  <c r="U946">
        <f>IF(ChurnData[[#This Row],[churn]]="yes",1,0)</f>
        <v>0</v>
      </c>
    </row>
    <row r="947" spans="1:21" x14ac:dyDescent="0.3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  <c r="U947">
        <f>IF(ChurnData[[#This Row],[churn]]="yes",1,0)</f>
        <v>0</v>
      </c>
    </row>
    <row r="948" spans="1:21" x14ac:dyDescent="0.3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  <c r="U948">
        <f>IF(ChurnData[[#This Row],[churn]]="yes",1,0)</f>
        <v>0</v>
      </c>
    </row>
    <row r="949" spans="1:21" x14ac:dyDescent="0.3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  <c r="U949">
        <f>IF(ChurnData[[#This Row],[churn]]="yes",1,0)</f>
        <v>0</v>
      </c>
    </row>
    <row r="950" spans="1:21" x14ac:dyDescent="0.3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  <c r="U950">
        <f>IF(ChurnData[[#This Row],[churn]]="yes",1,0)</f>
        <v>0</v>
      </c>
    </row>
    <row r="951" spans="1:21" x14ac:dyDescent="0.3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  <c r="U951">
        <f>IF(ChurnData[[#This Row],[churn]]="yes",1,0)</f>
        <v>0</v>
      </c>
    </row>
    <row r="952" spans="1:21" x14ac:dyDescent="0.3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  <c r="U952">
        <f>IF(ChurnData[[#This Row],[churn]]="yes",1,0)</f>
        <v>0</v>
      </c>
    </row>
    <row r="953" spans="1:21" x14ac:dyDescent="0.3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  <c r="U953">
        <f>IF(ChurnData[[#This Row],[churn]]="yes",1,0)</f>
        <v>1</v>
      </c>
    </row>
    <row r="954" spans="1:21" x14ac:dyDescent="0.3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  <c r="U954">
        <f>IF(ChurnData[[#This Row],[churn]]="yes",1,0)</f>
        <v>0</v>
      </c>
    </row>
    <row r="955" spans="1:21" x14ac:dyDescent="0.3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  <c r="U955">
        <f>IF(ChurnData[[#This Row],[churn]]="yes",1,0)</f>
        <v>1</v>
      </c>
    </row>
    <row r="956" spans="1:21" x14ac:dyDescent="0.3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  <c r="U956">
        <f>IF(ChurnData[[#This Row],[churn]]="yes",1,0)</f>
        <v>0</v>
      </c>
    </row>
    <row r="957" spans="1:21" x14ac:dyDescent="0.3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  <c r="U957">
        <f>IF(ChurnData[[#This Row],[churn]]="yes",1,0)</f>
        <v>0</v>
      </c>
    </row>
    <row r="958" spans="1:21" x14ac:dyDescent="0.3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  <c r="U958">
        <f>IF(ChurnData[[#This Row],[churn]]="yes",1,0)</f>
        <v>0</v>
      </c>
    </row>
    <row r="959" spans="1:21" x14ac:dyDescent="0.3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  <c r="U959">
        <f>IF(ChurnData[[#This Row],[churn]]="yes",1,0)</f>
        <v>0</v>
      </c>
    </row>
    <row r="960" spans="1:21" x14ac:dyDescent="0.3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  <c r="U960">
        <f>IF(ChurnData[[#This Row],[churn]]="yes",1,0)</f>
        <v>0</v>
      </c>
    </row>
    <row r="961" spans="1:21" x14ac:dyDescent="0.3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  <c r="U961">
        <f>IF(ChurnData[[#This Row],[churn]]="yes",1,0)</f>
        <v>0</v>
      </c>
    </row>
    <row r="962" spans="1:21" x14ac:dyDescent="0.3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  <c r="U962">
        <f>IF(ChurnData[[#This Row],[churn]]="yes",1,0)</f>
        <v>0</v>
      </c>
    </row>
    <row r="963" spans="1:21" x14ac:dyDescent="0.3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  <c r="U963">
        <f>IF(ChurnData[[#This Row],[churn]]="yes",1,0)</f>
        <v>0</v>
      </c>
    </row>
    <row r="964" spans="1:21" x14ac:dyDescent="0.3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  <c r="U964">
        <f>IF(ChurnData[[#This Row],[churn]]="yes",1,0)</f>
        <v>0</v>
      </c>
    </row>
    <row r="965" spans="1:21" x14ac:dyDescent="0.3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  <c r="U965">
        <f>IF(ChurnData[[#This Row],[churn]]="yes",1,0)</f>
        <v>0</v>
      </c>
    </row>
    <row r="966" spans="1:21" x14ac:dyDescent="0.3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  <c r="U966">
        <f>IF(ChurnData[[#This Row],[churn]]="yes",1,0)</f>
        <v>0</v>
      </c>
    </row>
    <row r="967" spans="1:21" x14ac:dyDescent="0.3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  <c r="U967">
        <f>IF(ChurnData[[#This Row],[churn]]="yes",1,0)</f>
        <v>0</v>
      </c>
    </row>
    <row r="968" spans="1:21" x14ac:dyDescent="0.3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  <c r="U968">
        <f>IF(ChurnData[[#This Row],[churn]]="yes",1,0)</f>
        <v>0</v>
      </c>
    </row>
    <row r="969" spans="1:21" x14ac:dyDescent="0.3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  <c r="U969">
        <f>IF(ChurnData[[#This Row],[churn]]="yes",1,0)</f>
        <v>1</v>
      </c>
    </row>
    <row r="970" spans="1:21" x14ac:dyDescent="0.3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  <c r="U970">
        <f>IF(ChurnData[[#This Row],[churn]]="yes",1,0)</f>
        <v>0</v>
      </c>
    </row>
    <row r="971" spans="1:21" x14ac:dyDescent="0.3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  <c r="U971">
        <f>IF(ChurnData[[#This Row],[churn]]="yes",1,0)</f>
        <v>0</v>
      </c>
    </row>
    <row r="972" spans="1:21" x14ac:dyDescent="0.3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  <c r="U972">
        <f>IF(ChurnData[[#This Row],[churn]]="yes",1,0)</f>
        <v>0</v>
      </c>
    </row>
    <row r="973" spans="1:21" x14ac:dyDescent="0.3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  <c r="U973">
        <f>IF(ChurnData[[#This Row],[churn]]="yes",1,0)</f>
        <v>0</v>
      </c>
    </row>
    <row r="974" spans="1:21" x14ac:dyDescent="0.3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  <c r="U974">
        <f>IF(ChurnData[[#This Row],[churn]]="yes",1,0)</f>
        <v>0</v>
      </c>
    </row>
    <row r="975" spans="1:21" x14ac:dyDescent="0.3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  <c r="U975">
        <f>IF(ChurnData[[#This Row],[churn]]="yes",1,0)</f>
        <v>0</v>
      </c>
    </row>
    <row r="976" spans="1:21" x14ac:dyDescent="0.3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  <c r="U976">
        <f>IF(ChurnData[[#This Row],[churn]]="yes",1,0)</f>
        <v>0</v>
      </c>
    </row>
    <row r="977" spans="1:21" x14ac:dyDescent="0.3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  <c r="U977">
        <f>IF(ChurnData[[#This Row],[churn]]="yes",1,0)</f>
        <v>0</v>
      </c>
    </row>
    <row r="978" spans="1:21" x14ac:dyDescent="0.3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  <c r="U978">
        <f>IF(ChurnData[[#This Row],[churn]]="yes",1,0)</f>
        <v>0</v>
      </c>
    </row>
    <row r="979" spans="1:21" x14ac:dyDescent="0.3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  <c r="U979">
        <f>IF(ChurnData[[#This Row],[churn]]="yes",1,0)</f>
        <v>0</v>
      </c>
    </row>
    <row r="980" spans="1:21" x14ac:dyDescent="0.3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  <c r="U980">
        <f>IF(ChurnData[[#This Row],[churn]]="yes",1,0)</f>
        <v>0</v>
      </c>
    </row>
    <row r="981" spans="1:21" x14ac:dyDescent="0.3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  <c r="U981">
        <f>IF(ChurnData[[#This Row],[churn]]="yes",1,0)</f>
        <v>0</v>
      </c>
    </row>
    <row r="982" spans="1:21" x14ac:dyDescent="0.3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  <c r="U982">
        <f>IF(ChurnData[[#This Row],[churn]]="yes",1,0)</f>
        <v>0</v>
      </c>
    </row>
    <row r="983" spans="1:21" x14ac:dyDescent="0.3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  <c r="U983">
        <f>IF(ChurnData[[#This Row],[churn]]="yes",1,0)</f>
        <v>0</v>
      </c>
    </row>
    <row r="984" spans="1:21" x14ac:dyDescent="0.3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  <c r="U984">
        <f>IF(ChurnData[[#This Row],[churn]]="yes",1,0)</f>
        <v>0</v>
      </c>
    </row>
    <row r="985" spans="1:21" x14ac:dyDescent="0.3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  <c r="U985">
        <f>IF(ChurnData[[#This Row],[churn]]="yes",1,0)</f>
        <v>0</v>
      </c>
    </row>
    <row r="986" spans="1:21" x14ac:dyDescent="0.3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  <c r="U986">
        <f>IF(ChurnData[[#This Row],[churn]]="yes",1,0)</f>
        <v>0</v>
      </c>
    </row>
    <row r="987" spans="1:21" x14ac:dyDescent="0.3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  <c r="U987">
        <f>IF(ChurnData[[#This Row],[churn]]="yes",1,0)</f>
        <v>0</v>
      </c>
    </row>
    <row r="988" spans="1:21" x14ac:dyDescent="0.3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  <c r="U988">
        <f>IF(ChurnData[[#This Row],[churn]]="yes",1,0)</f>
        <v>0</v>
      </c>
    </row>
    <row r="989" spans="1:21" x14ac:dyDescent="0.3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  <c r="U989">
        <f>IF(ChurnData[[#This Row],[churn]]="yes",1,0)</f>
        <v>0</v>
      </c>
    </row>
    <row r="990" spans="1:21" x14ac:dyDescent="0.3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  <c r="U990">
        <f>IF(ChurnData[[#This Row],[churn]]="yes",1,0)</f>
        <v>0</v>
      </c>
    </row>
    <row r="991" spans="1:21" x14ac:dyDescent="0.3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  <c r="U991">
        <f>IF(ChurnData[[#This Row],[churn]]="yes",1,0)</f>
        <v>1</v>
      </c>
    </row>
    <row r="992" spans="1:21" x14ac:dyDescent="0.3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  <c r="U992">
        <f>IF(ChurnData[[#This Row],[churn]]="yes",1,0)</f>
        <v>0</v>
      </c>
    </row>
    <row r="993" spans="1:21" x14ac:dyDescent="0.3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  <c r="U993">
        <f>IF(ChurnData[[#This Row],[churn]]="yes",1,0)</f>
        <v>0</v>
      </c>
    </row>
    <row r="994" spans="1:21" x14ac:dyDescent="0.3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  <c r="U994">
        <f>IF(ChurnData[[#This Row],[churn]]="yes",1,0)</f>
        <v>0</v>
      </c>
    </row>
    <row r="995" spans="1:21" x14ac:dyDescent="0.3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  <c r="U995">
        <f>IF(ChurnData[[#This Row],[churn]]="yes",1,0)</f>
        <v>0</v>
      </c>
    </row>
    <row r="996" spans="1:21" x14ac:dyDescent="0.3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  <c r="U996">
        <f>IF(ChurnData[[#This Row],[churn]]="yes",1,0)</f>
        <v>0</v>
      </c>
    </row>
    <row r="997" spans="1:21" x14ac:dyDescent="0.3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  <c r="U997">
        <f>IF(ChurnData[[#This Row],[churn]]="yes",1,0)</f>
        <v>0</v>
      </c>
    </row>
    <row r="998" spans="1:21" x14ac:dyDescent="0.3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  <c r="U998">
        <f>IF(ChurnData[[#This Row],[churn]]="yes",1,0)</f>
        <v>0</v>
      </c>
    </row>
    <row r="999" spans="1:21" x14ac:dyDescent="0.3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  <c r="U999">
        <f>IF(ChurnData[[#This Row],[churn]]="yes",1,0)</f>
        <v>0</v>
      </c>
    </row>
    <row r="1000" spans="1:21" x14ac:dyDescent="0.3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  <c r="U1000">
        <f>IF(ChurnData[[#This Row],[churn]]="yes",1,0)</f>
        <v>0</v>
      </c>
    </row>
    <row r="1001" spans="1:21" x14ac:dyDescent="0.3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  <c r="U1001">
        <f>IF(ChurnData[[#This Row],[churn]]="yes",1,0)</f>
        <v>1</v>
      </c>
    </row>
    <row r="1002" spans="1:21" x14ac:dyDescent="0.3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  <c r="U1002">
        <f>IF(ChurnData[[#This Row],[churn]]="yes",1,0)</f>
        <v>1</v>
      </c>
    </row>
    <row r="1003" spans="1:21" x14ac:dyDescent="0.3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  <c r="U1003">
        <f>IF(ChurnData[[#This Row],[churn]]="yes",1,0)</f>
        <v>0</v>
      </c>
    </row>
    <row r="1004" spans="1:21" x14ac:dyDescent="0.3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  <c r="U1004">
        <f>IF(ChurnData[[#This Row],[churn]]="yes",1,0)</f>
        <v>0</v>
      </c>
    </row>
    <row r="1005" spans="1:21" x14ac:dyDescent="0.3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  <c r="U1005">
        <f>IF(ChurnData[[#This Row],[churn]]="yes",1,0)</f>
        <v>0</v>
      </c>
    </row>
    <row r="1006" spans="1:21" x14ac:dyDescent="0.3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  <c r="U1006">
        <f>IF(ChurnData[[#This Row],[churn]]="yes",1,0)</f>
        <v>0</v>
      </c>
    </row>
    <row r="1007" spans="1:21" x14ac:dyDescent="0.3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  <c r="U1007">
        <f>IF(ChurnData[[#This Row],[churn]]="yes",1,0)</f>
        <v>0</v>
      </c>
    </row>
    <row r="1008" spans="1:21" x14ac:dyDescent="0.3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  <c r="U1008">
        <f>IF(ChurnData[[#This Row],[churn]]="yes",1,0)</f>
        <v>0</v>
      </c>
    </row>
    <row r="1009" spans="1:21" x14ac:dyDescent="0.3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  <c r="U1009">
        <f>IF(ChurnData[[#This Row],[churn]]="yes",1,0)</f>
        <v>0</v>
      </c>
    </row>
    <row r="1010" spans="1:21" x14ac:dyDescent="0.3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  <c r="U1010">
        <f>IF(ChurnData[[#This Row],[churn]]="yes",1,0)</f>
        <v>0</v>
      </c>
    </row>
    <row r="1011" spans="1:21" x14ac:dyDescent="0.3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  <c r="U1011">
        <f>IF(ChurnData[[#This Row],[churn]]="yes",1,0)</f>
        <v>1</v>
      </c>
    </row>
    <row r="1012" spans="1:21" x14ac:dyDescent="0.3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  <c r="U1012">
        <f>IF(ChurnData[[#This Row],[churn]]="yes",1,0)</f>
        <v>0</v>
      </c>
    </row>
    <row r="1013" spans="1:21" x14ac:dyDescent="0.3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  <c r="U1013">
        <f>IF(ChurnData[[#This Row],[churn]]="yes",1,0)</f>
        <v>0</v>
      </c>
    </row>
    <row r="1014" spans="1:21" x14ac:dyDescent="0.3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  <c r="U1014">
        <f>IF(ChurnData[[#This Row],[churn]]="yes",1,0)</f>
        <v>0</v>
      </c>
    </row>
    <row r="1015" spans="1:21" x14ac:dyDescent="0.3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  <c r="U1015">
        <f>IF(ChurnData[[#This Row],[churn]]="yes",1,0)</f>
        <v>0</v>
      </c>
    </row>
    <row r="1016" spans="1:21" x14ac:dyDescent="0.3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  <c r="U1016">
        <f>IF(ChurnData[[#This Row],[churn]]="yes",1,0)</f>
        <v>0</v>
      </c>
    </row>
    <row r="1017" spans="1:21" x14ac:dyDescent="0.3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  <c r="U1017">
        <f>IF(ChurnData[[#This Row],[churn]]="yes",1,0)</f>
        <v>0</v>
      </c>
    </row>
    <row r="1018" spans="1:21" x14ac:dyDescent="0.3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  <c r="U1018">
        <f>IF(ChurnData[[#This Row],[churn]]="yes",1,0)</f>
        <v>0</v>
      </c>
    </row>
    <row r="1019" spans="1:21" x14ac:dyDescent="0.3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  <c r="U1019">
        <f>IF(ChurnData[[#This Row],[churn]]="yes",1,0)</f>
        <v>0</v>
      </c>
    </row>
    <row r="1020" spans="1:21" x14ac:dyDescent="0.3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  <c r="U1020">
        <f>IF(ChurnData[[#This Row],[churn]]="yes",1,0)</f>
        <v>0</v>
      </c>
    </row>
    <row r="1021" spans="1:21" x14ac:dyDescent="0.3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  <c r="U1021">
        <f>IF(ChurnData[[#This Row],[churn]]="yes",1,0)</f>
        <v>0</v>
      </c>
    </row>
    <row r="1022" spans="1:21" x14ac:dyDescent="0.3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  <c r="U1022">
        <f>IF(ChurnData[[#This Row],[churn]]="yes",1,0)</f>
        <v>0</v>
      </c>
    </row>
    <row r="1023" spans="1:21" x14ac:dyDescent="0.3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  <c r="U1023">
        <f>IF(ChurnData[[#This Row],[churn]]="yes",1,0)</f>
        <v>0</v>
      </c>
    </row>
    <row r="1024" spans="1:21" x14ac:dyDescent="0.3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  <c r="U1024">
        <f>IF(ChurnData[[#This Row],[churn]]="yes",1,0)</f>
        <v>0</v>
      </c>
    </row>
    <row r="1025" spans="1:21" x14ac:dyDescent="0.3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  <c r="U1025">
        <f>IF(ChurnData[[#This Row],[churn]]="yes",1,0)</f>
        <v>0</v>
      </c>
    </row>
    <row r="1026" spans="1:21" x14ac:dyDescent="0.3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  <c r="U1026">
        <f>IF(ChurnData[[#This Row],[churn]]="yes",1,0)</f>
        <v>0</v>
      </c>
    </row>
    <row r="1027" spans="1:21" x14ac:dyDescent="0.3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  <c r="U1027">
        <f>IF(ChurnData[[#This Row],[churn]]="yes",1,0)</f>
        <v>0</v>
      </c>
    </row>
    <row r="1028" spans="1:21" x14ac:dyDescent="0.3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  <c r="U1028">
        <f>IF(ChurnData[[#This Row],[churn]]="yes",1,0)</f>
        <v>0</v>
      </c>
    </row>
    <row r="1029" spans="1:21" x14ac:dyDescent="0.3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  <c r="U1029">
        <f>IF(ChurnData[[#This Row],[churn]]="yes",1,0)</f>
        <v>0</v>
      </c>
    </row>
    <row r="1030" spans="1:21" x14ac:dyDescent="0.3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  <c r="U1030">
        <f>IF(ChurnData[[#This Row],[churn]]="yes",1,0)</f>
        <v>0</v>
      </c>
    </row>
    <row r="1031" spans="1:21" x14ac:dyDescent="0.3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  <c r="U1031">
        <f>IF(ChurnData[[#This Row],[churn]]="yes",1,0)</f>
        <v>0</v>
      </c>
    </row>
    <row r="1032" spans="1:21" x14ac:dyDescent="0.3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  <c r="U1032">
        <f>IF(ChurnData[[#This Row],[churn]]="yes",1,0)</f>
        <v>0</v>
      </c>
    </row>
    <row r="1033" spans="1:21" x14ac:dyDescent="0.3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  <c r="U1033">
        <f>IF(ChurnData[[#This Row],[churn]]="yes",1,0)</f>
        <v>0</v>
      </c>
    </row>
    <row r="1034" spans="1:21" x14ac:dyDescent="0.3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  <c r="U1034">
        <f>IF(ChurnData[[#This Row],[churn]]="yes",1,0)</f>
        <v>0</v>
      </c>
    </row>
    <row r="1035" spans="1:21" x14ac:dyDescent="0.3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  <c r="U1035">
        <f>IF(ChurnData[[#This Row],[churn]]="yes",1,0)</f>
        <v>0</v>
      </c>
    </row>
    <row r="1036" spans="1:21" x14ac:dyDescent="0.3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  <c r="U1036">
        <f>IF(ChurnData[[#This Row],[churn]]="yes",1,0)</f>
        <v>0</v>
      </c>
    </row>
    <row r="1037" spans="1:21" x14ac:dyDescent="0.3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  <c r="U1037">
        <f>IF(ChurnData[[#This Row],[churn]]="yes",1,0)</f>
        <v>1</v>
      </c>
    </row>
    <row r="1038" spans="1:21" x14ac:dyDescent="0.3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  <c r="U1038">
        <f>IF(ChurnData[[#This Row],[churn]]="yes",1,0)</f>
        <v>0</v>
      </c>
    </row>
    <row r="1039" spans="1:21" x14ac:dyDescent="0.3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  <c r="U1039">
        <f>IF(ChurnData[[#This Row],[churn]]="yes",1,0)</f>
        <v>0</v>
      </c>
    </row>
    <row r="1040" spans="1:21" x14ac:dyDescent="0.3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  <c r="U1040">
        <f>IF(ChurnData[[#This Row],[churn]]="yes",1,0)</f>
        <v>0</v>
      </c>
    </row>
    <row r="1041" spans="1:21" x14ac:dyDescent="0.3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  <c r="U1041">
        <f>IF(ChurnData[[#This Row],[churn]]="yes",1,0)</f>
        <v>0</v>
      </c>
    </row>
    <row r="1042" spans="1:21" x14ac:dyDescent="0.3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  <c r="U1042">
        <f>IF(ChurnData[[#This Row],[churn]]="yes",1,0)</f>
        <v>0</v>
      </c>
    </row>
    <row r="1043" spans="1:21" x14ac:dyDescent="0.3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  <c r="U1043">
        <f>IF(ChurnData[[#This Row],[churn]]="yes",1,0)</f>
        <v>0</v>
      </c>
    </row>
    <row r="1044" spans="1:21" x14ac:dyDescent="0.3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  <c r="U1044">
        <f>IF(ChurnData[[#This Row],[churn]]="yes",1,0)</f>
        <v>0</v>
      </c>
    </row>
    <row r="1045" spans="1:21" x14ac:dyDescent="0.3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  <c r="U1045">
        <f>IF(ChurnData[[#This Row],[churn]]="yes",1,0)</f>
        <v>1</v>
      </c>
    </row>
    <row r="1046" spans="1:21" x14ac:dyDescent="0.3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  <c r="U1046">
        <f>IF(ChurnData[[#This Row],[churn]]="yes",1,0)</f>
        <v>0</v>
      </c>
    </row>
    <row r="1047" spans="1:21" x14ac:dyDescent="0.3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  <c r="U1047">
        <f>IF(ChurnData[[#This Row],[churn]]="yes",1,0)</f>
        <v>0</v>
      </c>
    </row>
    <row r="1048" spans="1:21" x14ac:dyDescent="0.3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  <c r="U1048">
        <f>IF(ChurnData[[#This Row],[churn]]="yes",1,0)</f>
        <v>0</v>
      </c>
    </row>
    <row r="1049" spans="1:21" x14ac:dyDescent="0.3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  <c r="U1049">
        <f>IF(ChurnData[[#This Row],[churn]]="yes",1,0)</f>
        <v>0</v>
      </c>
    </row>
    <row r="1050" spans="1:21" x14ac:dyDescent="0.3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  <c r="U1050">
        <f>IF(ChurnData[[#This Row],[churn]]="yes",1,0)</f>
        <v>0</v>
      </c>
    </row>
    <row r="1051" spans="1:21" x14ac:dyDescent="0.3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  <c r="U1051">
        <f>IF(ChurnData[[#This Row],[churn]]="yes",1,0)</f>
        <v>0</v>
      </c>
    </row>
    <row r="1052" spans="1:21" x14ac:dyDescent="0.3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  <c r="U1052">
        <f>IF(ChurnData[[#This Row],[churn]]="yes",1,0)</f>
        <v>0</v>
      </c>
    </row>
    <row r="1053" spans="1:21" x14ac:dyDescent="0.3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  <c r="U1053">
        <f>IF(ChurnData[[#This Row],[churn]]="yes",1,0)</f>
        <v>0</v>
      </c>
    </row>
    <row r="1054" spans="1:21" x14ac:dyDescent="0.3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  <c r="U1054">
        <f>IF(ChurnData[[#This Row],[churn]]="yes",1,0)</f>
        <v>0</v>
      </c>
    </row>
    <row r="1055" spans="1:21" x14ac:dyDescent="0.3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  <c r="U1055">
        <f>IF(ChurnData[[#This Row],[churn]]="yes",1,0)</f>
        <v>0</v>
      </c>
    </row>
    <row r="1056" spans="1:21" x14ac:dyDescent="0.3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  <c r="U1056">
        <f>IF(ChurnData[[#This Row],[churn]]="yes",1,0)</f>
        <v>1</v>
      </c>
    </row>
    <row r="1057" spans="1:21" x14ac:dyDescent="0.3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  <c r="U1057">
        <f>IF(ChurnData[[#This Row],[churn]]="yes",1,0)</f>
        <v>0</v>
      </c>
    </row>
    <row r="1058" spans="1:21" x14ac:dyDescent="0.3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  <c r="U1058">
        <f>IF(ChurnData[[#This Row],[churn]]="yes",1,0)</f>
        <v>0</v>
      </c>
    </row>
    <row r="1059" spans="1:21" x14ac:dyDescent="0.3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  <c r="U1059">
        <f>IF(ChurnData[[#This Row],[churn]]="yes",1,0)</f>
        <v>0</v>
      </c>
    </row>
    <row r="1060" spans="1:21" x14ac:dyDescent="0.3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  <c r="U1060">
        <f>IF(ChurnData[[#This Row],[churn]]="yes",1,0)</f>
        <v>0</v>
      </c>
    </row>
    <row r="1061" spans="1:21" x14ac:dyDescent="0.3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  <c r="U1061">
        <f>IF(ChurnData[[#This Row],[churn]]="yes",1,0)</f>
        <v>0</v>
      </c>
    </row>
    <row r="1062" spans="1:21" x14ac:dyDescent="0.3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  <c r="U1062">
        <f>IF(ChurnData[[#This Row],[churn]]="yes",1,0)</f>
        <v>0</v>
      </c>
    </row>
    <row r="1063" spans="1:21" x14ac:dyDescent="0.3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  <c r="U1063">
        <f>IF(ChurnData[[#This Row],[churn]]="yes",1,0)</f>
        <v>0</v>
      </c>
    </row>
    <row r="1064" spans="1:21" x14ac:dyDescent="0.3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  <c r="U1064">
        <f>IF(ChurnData[[#This Row],[churn]]="yes",1,0)</f>
        <v>0</v>
      </c>
    </row>
    <row r="1065" spans="1:21" x14ac:dyDescent="0.3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  <c r="U1065">
        <f>IF(ChurnData[[#This Row],[churn]]="yes",1,0)</f>
        <v>1</v>
      </c>
    </row>
    <row r="1066" spans="1:21" x14ac:dyDescent="0.3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  <c r="U1066">
        <f>IF(ChurnData[[#This Row],[churn]]="yes",1,0)</f>
        <v>0</v>
      </c>
    </row>
    <row r="1067" spans="1:21" x14ac:dyDescent="0.3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  <c r="U1067">
        <f>IF(ChurnData[[#This Row],[churn]]="yes",1,0)</f>
        <v>0</v>
      </c>
    </row>
    <row r="1068" spans="1:21" x14ac:dyDescent="0.3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  <c r="U1068">
        <f>IF(ChurnData[[#This Row],[churn]]="yes",1,0)</f>
        <v>0</v>
      </c>
    </row>
    <row r="1069" spans="1:21" x14ac:dyDescent="0.3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  <c r="U1069">
        <f>IF(ChurnData[[#This Row],[churn]]="yes",1,0)</f>
        <v>0</v>
      </c>
    </row>
    <row r="1070" spans="1:21" x14ac:dyDescent="0.3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  <c r="U1070">
        <f>IF(ChurnData[[#This Row],[churn]]="yes",1,0)</f>
        <v>0</v>
      </c>
    </row>
    <row r="1071" spans="1:21" x14ac:dyDescent="0.3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  <c r="U1071">
        <f>IF(ChurnData[[#This Row],[churn]]="yes",1,0)</f>
        <v>0</v>
      </c>
    </row>
    <row r="1072" spans="1:21" x14ac:dyDescent="0.3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  <c r="U1072">
        <f>IF(ChurnData[[#This Row],[churn]]="yes",1,0)</f>
        <v>0</v>
      </c>
    </row>
    <row r="1073" spans="1:21" x14ac:dyDescent="0.3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  <c r="U1073">
        <f>IF(ChurnData[[#This Row],[churn]]="yes",1,0)</f>
        <v>0</v>
      </c>
    </row>
    <row r="1074" spans="1:21" x14ac:dyDescent="0.3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  <c r="U1074">
        <f>IF(ChurnData[[#This Row],[churn]]="yes",1,0)</f>
        <v>1</v>
      </c>
    </row>
    <row r="1075" spans="1:21" x14ac:dyDescent="0.3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  <c r="U1075">
        <f>IF(ChurnData[[#This Row],[churn]]="yes",1,0)</f>
        <v>0</v>
      </c>
    </row>
    <row r="1076" spans="1:21" x14ac:dyDescent="0.3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  <c r="U1076">
        <f>IF(ChurnData[[#This Row],[churn]]="yes",1,0)</f>
        <v>0</v>
      </c>
    </row>
    <row r="1077" spans="1:21" x14ac:dyDescent="0.3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  <c r="U1077">
        <f>IF(ChurnData[[#This Row],[churn]]="yes",1,0)</f>
        <v>1</v>
      </c>
    </row>
    <row r="1078" spans="1:21" x14ac:dyDescent="0.3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  <c r="U1078">
        <f>IF(ChurnData[[#This Row],[churn]]="yes",1,0)</f>
        <v>0</v>
      </c>
    </row>
    <row r="1079" spans="1:21" x14ac:dyDescent="0.3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  <c r="U1079">
        <f>IF(ChurnData[[#This Row],[churn]]="yes",1,0)</f>
        <v>1</v>
      </c>
    </row>
    <row r="1080" spans="1:21" x14ac:dyDescent="0.3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  <c r="U1080">
        <f>IF(ChurnData[[#This Row],[churn]]="yes",1,0)</f>
        <v>0</v>
      </c>
    </row>
    <row r="1081" spans="1:21" x14ac:dyDescent="0.3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  <c r="U1081">
        <f>IF(ChurnData[[#This Row],[churn]]="yes",1,0)</f>
        <v>1</v>
      </c>
    </row>
    <row r="1082" spans="1:21" x14ac:dyDescent="0.3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  <c r="U1082">
        <f>IF(ChurnData[[#This Row],[churn]]="yes",1,0)</f>
        <v>0</v>
      </c>
    </row>
    <row r="1083" spans="1:21" x14ac:dyDescent="0.3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  <c r="U1083">
        <f>IF(ChurnData[[#This Row],[churn]]="yes",1,0)</f>
        <v>0</v>
      </c>
    </row>
    <row r="1084" spans="1:21" x14ac:dyDescent="0.3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  <c r="U1084">
        <f>IF(ChurnData[[#This Row],[churn]]="yes",1,0)</f>
        <v>0</v>
      </c>
    </row>
    <row r="1085" spans="1:21" x14ac:dyDescent="0.3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  <c r="U1085">
        <f>IF(ChurnData[[#This Row],[churn]]="yes",1,0)</f>
        <v>1</v>
      </c>
    </row>
    <row r="1086" spans="1:21" x14ac:dyDescent="0.3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  <c r="U1086">
        <f>IF(ChurnData[[#This Row],[churn]]="yes",1,0)</f>
        <v>0</v>
      </c>
    </row>
    <row r="1087" spans="1:21" x14ac:dyDescent="0.3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  <c r="U1087">
        <f>IF(ChurnData[[#This Row],[churn]]="yes",1,0)</f>
        <v>0</v>
      </c>
    </row>
    <row r="1088" spans="1:21" x14ac:dyDescent="0.3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  <c r="U1088">
        <f>IF(ChurnData[[#This Row],[churn]]="yes",1,0)</f>
        <v>0</v>
      </c>
    </row>
    <row r="1089" spans="1:21" x14ac:dyDescent="0.3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  <c r="U1089">
        <f>IF(ChurnData[[#This Row],[churn]]="yes",1,0)</f>
        <v>0</v>
      </c>
    </row>
    <row r="1090" spans="1:21" x14ac:dyDescent="0.3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  <c r="U1090">
        <f>IF(ChurnData[[#This Row],[churn]]="yes",1,0)</f>
        <v>0</v>
      </c>
    </row>
    <row r="1091" spans="1:21" x14ac:dyDescent="0.3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  <c r="U1091">
        <f>IF(ChurnData[[#This Row],[churn]]="yes",1,0)</f>
        <v>0</v>
      </c>
    </row>
    <row r="1092" spans="1:21" x14ac:dyDescent="0.3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  <c r="U1092">
        <f>IF(ChurnData[[#This Row],[churn]]="yes",1,0)</f>
        <v>0</v>
      </c>
    </row>
    <row r="1093" spans="1:21" x14ac:dyDescent="0.3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  <c r="U1093">
        <f>IF(ChurnData[[#This Row],[churn]]="yes",1,0)</f>
        <v>0</v>
      </c>
    </row>
    <row r="1094" spans="1:21" x14ac:dyDescent="0.3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  <c r="U1094">
        <f>IF(ChurnData[[#This Row],[churn]]="yes",1,0)</f>
        <v>0</v>
      </c>
    </row>
    <row r="1095" spans="1:21" x14ac:dyDescent="0.3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  <c r="U1095">
        <f>IF(ChurnData[[#This Row],[churn]]="yes",1,0)</f>
        <v>0</v>
      </c>
    </row>
    <row r="1096" spans="1:21" x14ac:dyDescent="0.3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  <c r="U1096">
        <f>IF(ChurnData[[#This Row],[churn]]="yes",1,0)</f>
        <v>0</v>
      </c>
    </row>
    <row r="1097" spans="1:21" x14ac:dyDescent="0.3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  <c r="U1097">
        <f>IF(ChurnData[[#This Row],[churn]]="yes",1,0)</f>
        <v>0</v>
      </c>
    </row>
    <row r="1098" spans="1:21" x14ac:dyDescent="0.3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  <c r="U1098">
        <f>IF(ChurnData[[#This Row],[churn]]="yes",1,0)</f>
        <v>0</v>
      </c>
    </row>
    <row r="1099" spans="1:21" x14ac:dyDescent="0.3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  <c r="U1099">
        <f>IF(ChurnData[[#This Row],[churn]]="yes",1,0)</f>
        <v>0</v>
      </c>
    </row>
    <row r="1100" spans="1:21" x14ac:dyDescent="0.3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  <c r="U1100">
        <f>IF(ChurnData[[#This Row],[churn]]="yes",1,0)</f>
        <v>0</v>
      </c>
    </row>
    <row r="1101" spans="1:21" x14ac:dyDescent="0.3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  <c r="U1101">
        <f>IF(ChurnData[[#This Row],[churn]]="yes",1,0)</f>
        <v>1</v>
      </c>
    </row>
    <row r="1102" spans="1:21" x14ac:dyDescent="0.3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  <c r="U1102">
        <f>IF(ChurnData[[#This Row],[churn]]="yes",1,0)</f>
        <v>0</v>
      </c>
    </row>
    <row r="1103" spans="1:21" x14ac:dyDescent="0.3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  <c r="U1103">
        <f>IF(ChurnData[[#This Row],[churn]]="yes",1,0)</f>
        <v>0</v>
      </c>
    </row>
    <row r="1104" spans="1:21" x14ac:dyDescent="0.3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  <c r="U1104">
        <f>IF(ChurnData[[#This Row],[churn]]="yes",1,0)</f>
        <v>0</v>
      </c>
    </row>
    <row r="1105" spans="1:21" x14ac:dyDescent="0.3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  <c r="U1105">
        <f>IF(ChurnData[[#This Row],[churn]]="yes",1,0)</f>
        <v>1</v>
      </c>
    </row>
    <row r="1106" spans="1:21" x14ac:dyDescent="0.3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  <c r="U1106">
        <f>IF(ChurnData[[#This Row],[churn]]="yes",1,0)</f>
        <v>0</v>
      </c>
    </row>
    <row r="1107" spans="1:21" x14ac:dyDescent="0.3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  <c r="U1107">
        <f>IF(ChurnData[[#This Row],[churn]]="yes",1,0)</f>
        <v>0</v>
      </c>
    </row>
    <row r="1108" spans="1:21" x14ac:dyDescent="0.3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  <c r="U1108">
        <f>IF(ChurnData[[#This Row],[churn]]="yes",1,0)</f>
        <v>0</v>
      </c>
    </row>
    <row r="1109" spans="1:21" x14ac:dyDescent="0.3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  <c r="U1109">
        <f>IF(ChurnData[[#This Row],[churn]]="yes",1,0)</f>
        <v>1</v>
      </c>
    </row>
    <row r="1110" spans="1:21" x14ac:dyDescent="0.3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  <c r="U1110">
        <f>IF(ChurnData[[#This Row],[churn]]="yes",1,0)</f>
        <v>0</v>
      </c>
    </row>
    <row r="1111" spans="1:21" x14ac:dyDescent="0.3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  <c r="U1111">
        <f>IF(ChurnData[[#This Row],[churn]]="yes",1,0)</f>
        <v>0</v>
      </c>
    </row>
    <row r="1112" spans="1:21" x14ac:dyDescent="0.3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  <c r="U1112">
        <f>IF(ChurnData[[#This Row],[churn]]="yes",1,0)</f>
        <v>0</v>
      </c>
    </row>
    <row r="1113" spans="1:21" x14ac:dyDescent="0.3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  <c r="U1113">
        <f>IF(ChurnData[[#This Row],[churn]]="yes",1,0)</f>
        <v>0</v>
      </c>
    </row>
    <row r="1114" spans="1:21" x14ac:dyDescent="0.3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  <c r="U1114">
        <f>IF(ChurnData[[#This Row],[churn]]="yes",1,0)</f>
        <v>0</v>
      </c>
    </row>
    <row r="1115" spans="1:21" x14ac:dyDescent="0.3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  <c r="U1115">
        <f>IF(ChurnData[[#This Row],[churn]]="yes",1,0)</f>
        <v>0</v>
      </c>
    </row>
    <row r="1116" spans="1:21" x14ac:dyDescent="0.3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  <c r="U1116">
        <f>IF(ChurnData[[#This Row],[churn]]="yes",1,0)</f>
        <v>0</v>
      </c>
    </row>
    <row r="1117" spans="1:21" x14ac:dyDescent="0.3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  <c r="U1117">
        <f>IF(ChurnData[[#This Row],[churn]]="yes",1,0)</f>
        <v>0</v>
      </c>
    </row>
    <row r="1118" spans="1:21" x14ac:dyDescent="0.3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  <c r="U1118">
        <f>IF(ChurnData[[#This Row],[churn]]="yes",1,0)</f>
        <v>0</v>
      </c>
    </row>
    <row r="1119" spans="1:21" x14ac:dyDescent="0.3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  <c r="U1119">
        <f>IF(ChurnData[[#This Row],[churn]]="yes",1,0)</f>
        <v>0</v>
      </c>
    </row>
    <row r="1120" spans="1:21" x14ac:dyDescent="0.3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  <c r="U1120">
        <f>IF(ChurnData[[#This Row],[churn]]="yes",1,0)</f>
        <v>0</v>
      </c>
    </row>
    <row r="1121" spans="1:21" x14ac:dyDescent="0.3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  <c r="U1121">
        <f>IF(ChurnData[[#This Row],[churn]]="yes",1,0)</f>
        <v>1</v>
      </c>
    </row>
    <row r="1122" spans="1:21" x14ac:dyDescent="0.3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  <c r="U1122">
        <f>IF(ChurnData[[#This Row],[churn]]="yes",1,0)</f>
        <v>0</v>
      </c>
    </row>
    <row r="1123" spans="1:21" x14ac:dyDescent="0.3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  <c r="U1123">
        <f>IF(ChurnData[[#This Row],[churn]]="yes",1,0)</f>
        <v>0</v>
      </c>
    </row>
    <row r="1124" spans="1:21" x14ac:dyDescent="0.3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  <c r="U1124">
        <f>IF(ChurnData[[#This Row],[churn]]="yes",1,0)</f>
        <v>1</v>
      </c>
    </row>
    <row r="1125" spans="1:21" x14ac:dyDescent="0.3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  <c r="U1125">
        <f>IF(ChurnData[[#This Row],[churn]]="yes",1,0)</f>
        <v>0</v>
      </c>
    </row>
    <row r="1126" spans="1:21" x14ac:dyDescent="0.3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  <c r="U1126">
        <f>IF(ChurnData[[#This Row],[churn]]="yes",1,0)</f>
        <v>0</v>
      </c>
    </row>
    <row r="1127" spans="1:21" x14ac:dyDescent="0.3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  <c r="U1127">
        <f>IF(ChurnData[[#This Row],[churn]]="yes",1,0)</f>
        <v>0</v>
      </c>
    </row>
    <row r="1128" spans="1:21" x14ac:dyDescent="0.3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  <c r="U1128">
        <f>IF(ChurnData[[#This Row],[churn]]="yes",1,0)</f>
        <v>0</v>
      </c>
    </row>
    <row r="1129" spans="1:21" x14ac:dyDescent="0.3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  <c r="U1129">
        <f>IF(ChurnData[[#This Row],[churn]]="yes",1,0)</f>
        <v>0</v>
      </c>
    </row>
    <row r="1130" spans="1:21" x14ac:dyDescent="0.3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  <c r="U1130">
        <f>IF(ChurnData[[#This Row],[churn]]="yes",1,0)</f>
        <v>1</v>
      </c>
    </row>
    <row r="1131" spans="1:21" x14ac:dyDescent="0.3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  <c r="U1131">
        <f>IF(ChurnData[[#This Row],[churn]]="yes",1,0)</f>
        <v>0</v>
      </c>
    </row>
    <row r="1132" spans="1:21" x14ac:dyDescent="0.3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  <c r="U1132">
        <f>IF(ChurnData[[#This Row],[churn]]="yes",1,0)</f>
        <v>0</v>
      </c>
    </row>
    <row r="1133" spans="1:21" x14ac:dyDescent="0.3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  <c r="U1133">
        <f>IF(ChurnData[[#This Row],[churn]]="yes",1,0)</f>
        <v>1</v>
      </c>
    </row>
    <row r="1134" spans="1:21" x14ac:dyDescent="0.3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  <c r="U1134">
        <f>IF(ChurnData[[#This Row],[churn]]="yes",1,0)</f>
        <v>0</v>
      </c>
    </row>
    <row r="1135" spans="1:21" x14ac:dyDescent="0.3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  <c r="U1135">
        <f>IF(ChurnData[[#This Row],[churn]]="yes",1,0)</f>
        <v>1</v>
      </c>
    </row>
    <row r="1136" spans="1:21" x14ac:dyDescent="0.3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  <c r="U1136">
        <f>IF(ChurnData[[#This Row],[churn]]="yes",1,0)</f>
        <v>0</v>
      </c>
    </row>
    <row r="1137" spans="1:21" x14ac:dyDescent="0.3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  <c r="U1137">
        <f>IF(ChurnData[[#This Row],[churn]]="yes",1,0)</f>
        <v>0</v>
      </c>
    </row>
    <row r="1138" spans="1:21" x14ac:dyDescent="0.3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  <c r="U1138">
        <f>IF(ChurnData[[#This Row],[churn]]="yes",1,0)</f>
        <v>0</v>
      </c>
    </row>
    <row r="1139" spans="1:21" x14ac:dyDescent="0.3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  <c r="U1139">
        <f>IF(ChurnData[[#This Row],[churn]]="yes",1,0)</f>
        <v>1</v>
      </c>
    </row>
    <row r="1140" spans="1:21" x14ac:dyDescent="0.3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  <c r="U1140">
        <f>IF(ChurnData[[#This Row],[churn]]="yes",1,0)</f>
        <v>1</v>
      </c>
    </row>
    <row r="1141" spans="1:21" x14ac:dyDescent="0.3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  <c r="U1141">
        <f>IF(ChurnData[[#This Row],[churn]]="yes",1,0)</f>
        <v>1</v>
      </c>
    </row>
    <row r="1142" spans="1:21" x14ac:dyDescent="0.3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  <c r="U1142">
        <f>IF(ChurnData[[#This Row],[churn]]="yes",1,0)</f>
        <v>0</v>
      </c>
    </row>
    <row r="1143" spans="1:21" x14ac:dyDescent="0.3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  <c r="U1143">
        <f>IF(ChurnData[[#This Row],[churn]]="yes",1,0)</f>
        <v>0</v>
      </c>
    </row>
    <row r="1144" spans="1:21" x14ac:dyDescent="0.3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  <c r="U1144">
        <f>IF(ChurnData[[#This Row],[churn]]="yes",1,0)</f>
        <v>0</v>
      </c>
    </row>
    <row r="1145" spans="1:21" x14ac:dyDescent="0.3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  <c r="U1145">
        <f>IF(ChurnData[[#This Row],[churn]]="yes",1,0)</f>
        <v>1</v>
      </c>
    </row>
    <row r="1146" spans="1:21" x14ac:dyDescent="0.3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  <c r="U1146">
        <f>IF(ChurnData[[#This Row],[churn]]="yes",1,0)</f>
        <v>0</v>
      </c>
    </row>
    <row r="1147" spans="1:21" x14ac:dyDescent="0.3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  <c r="U1147">
        <f>IF(ChurnData[[#This Row],[churn]]="yes",1,0)</f>
        <v>0</v>
      </c>
    </row>
    <row r="1148" spans="1:21" x14ac:dyDescent="0.3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  <c r="U1148">
        <f>IF(ChurnData[[#This Row],[churn]]="yes",1,0)</f>
        <v>0</v>
      </c>
    </row>
    <row r="1149" spans="1:21" x14ac:dyDescent="0.3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  <c r="U1149">
        <f>IF(ChurnData[[#This Row],[churn]]="yes",1,0)</f>
        <v>0</v>
      </c>
    </row>
    <row r="1150" spans="1:21" x14ac:dyDescent="0.3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  <c r="U1150">
        <f>IF(ChurnData[[#This Row],[churn]]="yes",1,0)</f>
        <v>0</v>
      </c>
    </row>
    <row r="1151" spans="1:21" x14ac:dyDescent="0.3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  <c r="U1151">
        <f>IF(ChurnData[[#This Row],[churn]]="yes",1,0)</f>
        <v>0</v>
      </c>
    </row>
    <row r="1152" spans="1:21" x14ac:dyDescent="0.3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  <c r="U1152">
        <f>IF(ChurnData[[#This Row],[churn]]="yes",1,0)</f>
        <v>0</v>
      </c>
    </row>
    <row r="1153" spans="1:21" x14ac:dyDescent="0.3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  <c r="U1153">
        <f>IF(ChurnData[[#This Row],[churn]]="yes",1,0)</f>
        <v>1</v>
      </c>
    </row>
    <row r="1154" spans="1:21" x14ac:dyDescent="0.3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  <c r="U1154">
        <f>IF(ChurnData[[#This Row],[churn]]="yes",1,0)</f>
        <v>0</v>
      </c>
    </row>
    <row r="1155" spans="1:21" x14ac:dyDescent="0.3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  <c r="U1155">
        <f>IF(ChurnData[[#This Row],[churn]]="yes",1,0)</f>
        <v>0</v>
      </c>
    </row>
    <row r="1156" spans="1:21" x14ac:dyDescent="0.3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  <c r="U1156">
        <f>IF(ChurnData[[#This Row],[churn]]="yes",1,0)</f>
        <v>0</v>
      </c>
    </row>
    <row r="1157" spans="1:21" x14ac:dyDescent="0.3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  <c r="U1157">
        <f>IF(ChurnData[[#This Row],[churn]]="yes",1,0)</f>
        <v>0</v>
      </c>
    </row>
    <row r="1158" spans="1:21" x14ac:dyDescent="0.3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  <c r="U1158">
        <f>IF(ChurnData[[#This Row],[churn]]="yes",1,0)</f>
        <v>1</v>
      </c>
    </row>
    <row r="1159" spans="1:21" x14ac:dyDescent="0.3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  <c r="U1159">
        <f>IF(ChurnData[[#This Row],[churn]]="yes",1,0)</f>
        <v>0</v>
      </c>
    </row>
    <row r="1160" spans="1:21" x14ac:dyDescent="0.3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  <c r="U1160">
        <f>IF(ChurnData[[#This Row],[churn]]="yes",1,0)</f>
        <v>0</v>
      </c>
    </row>
    <row r="1161" spans="1:21" x14ac:dyDescent="0.3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  <c r="U1161">
        <f>IF(ChurnData[[#This Row],[churn]]="yes",1,0)</f>
        <v>0</v>
      </c>
    </row>
    <row r="1162" spans="1:21" x14ac:dyDescent="0.3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  <c r="U1162">
        <f>IF(ChurnData[[#This Row],[churn]]="yes",1,0)</f>
        <v>0</v>
      </c>
    </row>
    <row r="1163" spans="1:21" x14ac:dyDescent="0.3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  <c r="U1163">
        <f>IF(ChurnData[[#This Row],[churn]]="yes",1,0)</f>
        <v>0</v>
      </c>
    </row>
    <row r="1164" spans="1:21" x14ac:dyDescent="0.3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  <c r="U1164">
        <f>IF(ChurnData[[#This Row],[churn]]="yes",1,0)</f>
        <v>0</v>
      </c>
    </row>
    <row r="1165" spans="1:21" x14ac:dyDescent="0.3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  <c r="U1165">
        <f>IF(ChurnData[[#This Row],[churn]]="yes",1,0)</f>
        <v>0</v>
      </c>
    </row>
    <row r="1166" spans="1:21" x14ac:dyDescent="0.3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  <c r="U1166">
        <f>IF(ChurnData[[#This Row],[churn]]="yes",1,0)</f>
        <v>0</v>
      </c>
    </row>
    <row r="1167" spans="1:21" x14ac:dyDescent="0.3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  <c r="U1167">
        <f>IF(ChurnData[[#This Row],[churn]]="yes",1,0)</f>
        <v>1</v>
      </c>
    </row>
    <row r="1168" spans="1:21" x14ac:dyDescent="0.3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  <c r="U1168">
        <f>IF(ChurnData[[#This Row],[churn]]="yes",1,0)</f>
        <v>0</v>
      </c>
    </row>
    <row r="1169" spans="1:21" x14ac:dyDescent="0.3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  <c r="U1169">
        <f>IF(ChurnData[[#This Row],[churn]]="yes",1,0)</f>
        <v>0</v>
      </c>
    </row>
    <row r="1170" spans="1:21" x14ac:dyDescent="0.3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  <c r="U1170">
        <f>IF(ChurnData[[#This Row],[churn]]="yes",1,0)</f>
        <v>1</v>
      </c>
    </row>
    <row r="1171" spans="1:21" x14ac:dyDescent="0.3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  <c r="U1171">
        <f>IF(ChurnData[[#This Row],[churn]]="yes",1,0)</f>
        <v>0</v>
      </c>
    </row>
    <row r="1172" spans="1:21" x14ac:dyDescent="0.3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  <c r="U1172">
        <f>IF(ChurnData[[#This Row],[churn]]="yes",1,0)</f>
        <v>0</v>
      </c>
    </row>
    <row r="1173" spans="1:21" x14ac:dyDescent="0.3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  <c r="U1173">
        <f>IF(ChurnData[[#This Row],[churn]]="yes",1,0)</f>
        <v>0</v>
      </c>
    </row>
    <row r="1174" spans="1:21" x14ac:dyDescent="0.3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  <c r="U1174">
        <f>IF(ChurnData[[#This Row],[churn]]="yes",1,0)</f>
        <v>0</v>
      </c>
    </row>
    <row r="1175" spans="1:21" x14ac:dyDescent="0.3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  <c r="U1175">
        <f>IF(ChurnData[[#This Row],[churn]]="yes",1,0)</f>
        <v>0</v>
      </c>
    </row>
    <row r="1176" spans="1:21" x14ac:dyDescent="0.3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  <c r="U1176">
        <f>IF(ChurnData[[#This Row],[churn]]="yes",1,0)</f>
        <v>0</v>
      </c>
    </row>
    <row r="1177" spans="1:21" x14ac:dyDescent="0.3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  <c r="U1177">
        <f>IF(ChurnData[[#This Row],[churn]]="yes",1,0)</f>
        <v>0</v>
      </c>
    </row>
    <row r="1178" spans="1:21" x14ac:dyDescent="0.3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  <c r="U1178">
        <f>IF(ChurnData[[#This Row],[churn]]="yes",1,0)</f>
        <v>0</v>
      </c>
    </row>
    <row r="1179" spans="1:21" x14ac:dyDescent="0.3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  <c r="U1179">
        <f>IF(ChurnData[[#This Row],[churn]]="yes",1,0)</f>
        <v>0</v>
      </c>
    </row>
    <row r="1180" spans="1:21" x14ac:dyDescent="0.3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  <c r="U1180">
        <f>IF(ChurnData[[#This Row],[churn]]="yes",1,0)</f>
        <v>1</v>
      </c>
    </row>
    <row r="1181" spans="1:21" x14ac:dyDescent="0.3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  <c r="U1181">
        <f>IF(ChurnData[[#This Row],[churn]]="yes",1,0)</f>
        <v>0</v>
      </c>
    </row>
    <row r="1182" spans="1:21" x14ac:dyDescent="0.3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  <c r="U1182">
        <f>IF(ChurnData[[#This Row],[churn]]="yes",1,0)</f>
        <v>0</v>
      </c>
    </row>
    <row r="1183" spans="1:21" x14ac:dyDescent="0.3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  <c r="U1183">
        <f>IF(ChurnData[[#This Row],[churn]]="yes",1,0)</f>
        <v>0</v>
      </c>
    </row>
    <row r="1184" spans="1:21" x14ac:dyDescent="0.3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  <c r="U1184">
        <f>IF(ChurnData[[#This Row],[churn]]="yes",1,0)</f>
        <v>0</v>
      </c>
    </row>
    <row r="1185" spans="1:21" x14ac:dyDescent="0.3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  <c r="U1185">
        <f>IF(ChurnData[[#This Row],[churn]]="yes",1,0)</f>
        <v>0</v>
      </c>
    </row>
    <row r="1186" spans="1:21" x14ac:dyDescent="0.3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  <c r="U1186">
        <f>IF(ChurnData[[#This Row],[churn]]="yes",1,0)</f>
        <v>0</v>
      </c>
    </row>
    <row r="1187" spans="1:21" x14ac:dyDescent="0.3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  <c r="U1187">
        <f>IF(ChurnData[[#This Row],[churn]]="yes",1,0)</f>
        <v>0</v>
      </c>
    </row>
    <row r="1188" spans="1:21" x14ac:dyDescent="0.3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  <c r="U1188">
        <f>IF(ChurnData[[#This Row],[churn]]="yes",1,0)</f>
        <v>0</v>
      </c>
    </row>
    <row r="1189" spans="1:21" x14ac:dyDescent="0.3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  <c r="U1189">
        <f>IF(ChurnData[[#This Row],[churn]]="yes",1,0)</f>
        <v>0</v>
      </c>
    </row>
    <row r="1190" spans="1:21" x14ac:dyDescent="0.3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  <c r="U1190">
        <f>IF(ChurnData[[#This Row],[churn]]="yes",1,0)</f>
        <v>0</v>
      </c>
    </row>
    <row r="1191" spans="1:21" x14ac:dyDescent="0.3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  <c r="U1191">
        <f>IF(ChurnData[[#This Row],[churn]]="yes",1,0)</f>
        <v>0</v>
      </c>
    </row>
    <row r="1192" spans="1:21" x14ac:dyDescent="0.3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  <c r="U1192">
        <f>IF(ChurnData[[#This Row],[churn]]="yes",1,0)</f>
        <v>1</v>
      </c>
    </row>
    <row r="1193" spans="1:21" x14ac:dyDescent="0.3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  <c r="U1193">
        <f>IF(ChurnData[[#This Row],[churn]]="yes",1,0)</f>
        <v>0</v>
      </c>
    </row>
    <row r="1194" spans="1:21" x14ac:dyDescent="0.3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  <c r="U1194">
        <f>IF(ChurnData[[#This Row],[churn]]="yes",1,0)</f>
        <v>1</v>
      </c>
    </row>
    <row r="1195" spans="1:21" x14ac:dyDescent="0.3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  <c r="U1195">
        <f>IF(ChurnData[[#This Row],[churn]]="yes",1,0)</f>
        <v>0</v>
      </c>
    </row>
    <row r="1196" spans="1:21" x14ac:dyDescent="0.3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  <c r="U1196">
        <f>IF(ChurnData[[#This Row],[churn]]="yes",1,0)</f>
        <v>0</v>
      </c>
    </row>
    <row r="1197" spans="1:21" x14ac:dyDescent="0.3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  <c r="U1197">
        <f>IF(ChurnData[[#This Row],[churn]]="yes",1,0)</f>
        <v>0</v>
      </c>
    </row>
    <row r="1198" spans="1:21" x14ac:dyDescent="0.3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  <c r="U1198">
        <f>IF(ChurnData[[#This Row],[churn]]="yes",1,0)</f>
        <v>0</v>
      </c>
    </row>
    <row r="1199" spans="1:21" x14ac:dyDescent="0.3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  <c r="U1199">
        <f>IF(ChurnData[[#This Row],[churn]]="yes",1,0)</f>
        <v>0</v>
      </c>
    </row>
    <row r="1200" spans="1:21" x14ac:dyDescent="0.3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  <c r="U1200">
        <f>IF(ChurnData[[#This Row],[churn]]="yes",1,0)</f>
        <v>0</v>
      </c>
    </row>
    <row r="1201" spans="1:21" x14ac:dyDescent="0.3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  <c r="U1201">
        <f>IF(ChurnData[[#This Row],[churn]]="yes",1,0)</f>
        <v>0</v>
      </c>
    </row>
    <row r="1202" spans="1:21" x14ac:dyDescent="0.3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  <c r="U1202">
        <f>IF(ChurnData[[#This Row],[churn]]="yes",1,0)</f>
        <v>0</v>
      </c>
    </row>
    <row r="1203" spans="1:21" x14ac:dyDescent="0.3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  <c r="U1203">
        <f>IF(ChurnData[[#This Row],[churn]]="yes",1,0)</f>
        <v>0</v>
      </c>
    </row>
    <row r="1204" spans="1:21" x14ac:dyDescent="0.3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  <c r="U1204">
        <f>IF(ChurnData[[#This Row],[churn]]="yes",1,0)</f>
        <v>0</v>
      </c>
    </row>
    <row r="1205" spans="1:21" x14ac:dyDescent="0.3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  <c r="U1205">
        <f>IF(ChurnData[[#This Row],[churn]]="yes",1,0)</f>
        <v>1</v>
      </c>
    </row>
    <row r="1206" spans="1:21" x14ac:dyDescent="0.3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  <c r="U1206">
        <f>IF(ChurnData[[#This Row],[churn]]="yes",1,0)</f>
        <v>0</v>
      </c>
    </row>
    <row r="1207" spans="1:21" x14ac:dyDescent="0.3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  <c r="U1207">
        <f>IF(ChurnData[[#This Row],[churn]]="yes",1,0)</f>
        <v>0</v>
      </c>
    </row>
    <row r="1208" spans="1:21" x14ac:dyDescent="0.3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  <c r="U1208">
        <f>IF(ChurnData[[#This Row],[churn]]="yes",1,0)</f>
        <v>0</v>
      </c>
    </row>
    <row r="1209" spans="1:21" x14ac:dyDescent="0.3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  <c r="U1209">
        <f>IF(ChurnData[[#This Row],[churn]]="yes",1,0)</f>
        <v>0</v>
      </c>
    </row>
    <row r="1210" spans="1:21" x14ac:dyDescent="0.3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  <c r="U1210">
        <f>IF(ChurnData[[#This Row],[churn]]="yes",1,0)</f>
        <v>0</v>
      </c>
    </row>
    <row r="1211" spans="1:21" x14ac:dyDescent="0.3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  <c r="U1211">
        <f>IF(ChurnData[[#This Row],[churn]]="yes",1,0)</f>
        <v>0</v>
      </c>
    </row>
    <row r="1212" spans="1:21" x14ac:dyDescent="0.3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  <c r="U1212">
        <f>IF(ChurnData[[#This Row],[churn]]="yes",1,0)</f>
        <v>0</v>
      </c>
    </row>
    <row r="1213" spans="1:21" x14ac:dyDescent="0.3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  <c r="U1213">
        <f>IF(ChurnData[[#This Row],[churn]]="yes",1,0)</f>
        <v>0</v>
      </c>
    </row>
    <row r="1214" spans="1:21" x14ac:dyDescent="0.3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  <c r="U1214">
        <f>IF(ChurnData[[#This Row],[churn]]="yes",1,0)</f>
        <v>0</v>
      </c>
    </row>
    <row r="1215" spans="1:21" x14ac:dyDescent="0.3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  <c r="U1215">
        <f>IF(ChurnData[[#This Row],[churn]]="yes",1,0)</f>
        <v>0</v>
      </c>
    </row>
    <row r="1216" spans="1:21" x14ac:dyDescent="0.3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  <c r="U1216">
        <f>IF(ChurnData[[#This Row],[churn]]="yes",1,0)</f>
        <v>0</v>
      </c>
    </row>
    <row r="1217" spans="1:21" x14ac:dyDescent="0.3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  <c r="U1217">
        <f>IF(ChurnData[[#This Row],[churn]]="yes",1,0)</f>
        <v>0</v>
      </c>
    </row>
    <row r="1218" spans="1:21" x14ac:dyDescent="0.3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  <c r="U1218">
        <f>IF(ChurnData[[#This Row],[churn]]="yes",1,0)</f>
        <v>0</v>
      </c>
    </row>
    <row r="1219" spans="1:21" x14ac:dyDescent="0.3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  <c r="U1219">
        <f>IF(ChurnData[[#This Row],[churn]]="yes",1,0)</f>
        <v>0</v>
      </c>
    </row>
    <row r="1220" spans="1:21" x14ac:dyDescent="0.3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  <c r="U1220">
        <f>IF(ChurnData[[#This Row],[churn]]="yes",1,0)</f>
        <v>0</v>
      </c>
    </row>
    <row r="1221" spans="1:21" x14ac:dyDescent="0.3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  <c r="U1221">
        <f>IF(ChurnData[[#This Row],[churn]]="yes",1,0)</f>
        <v>0</v>
      </c>
    </row>
    <row r="1222" spans="1:21" x14ac:dyDescent="0.3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  <c r="U1222">
        <f>IF(ChurnData[[#This Row],[churn]]="yes",1,0)</f>
        <v>0</v>
      </c>
    </row>
    <row r="1223" spans="1:21" x14ac:dyDescent="0.3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  <c r="U1223">
        <f>IF(ChurnData[[#This Row],[churn]]="yes",1,0)</f>
        <v>0</v>
      </c>
    </row>
    <row r="1224" spans="1:21" x14ac:dyDescent="0.3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  <c r="U1224">
        <f>IF(ChurnData[[#This Row],[churn]]="yes",1,0)</f>
        <v>0</v>
      </c>
    </row>
    <row r="1225" spans="1:21" x14ac:dyDescent="0.3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  <c r="U1225">
        <f>IF(ChurnData[[#This Row],[churn]]="yes",1,0)</f>
        <v>0</v>
      </c>
    </row>
    <row r="1226" spans="1:21" x14ac:dyDescent="0.3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  <c r="U1226">
        <f>IF(ChurnData[[#This Row],[churn]]="yes",1,0)</f>
        <v>0</v>
      </c>
    </row>
    <row r="1227" spans="1:21" x14ac:dyDescent="0.3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  <c r="U1227">
        <f>IF(ChurnData[[#This Row],[churn]]="yes",1,0)</f>
        <v>0</v>
      </c>
    </row>
    <row r="1228" spans="1:21" x14ac:dyDescent="0.3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  <c r="U1228">
        <f>IF(ChurnData[[#This Row],[churn]]="yes",1,0)</f>
        <v>0</v>
      </c>
    </row>
    <row r="1229" spans="1:21" x14ac:dyDescent="0.3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  <c r="U1229">
        <f>IF(ChurnData[[#This Row],[churn]]="yes",1,0)</f>
        <v>0</v>
      </c>
    </row>
    <row r="1230" spans="1:21" x14ac:dyDescent="0.3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  <c r="U1230">
        <f>IF(ChurnData[[#This Row],[churn]]="yes",1,0)</f>
        <v>0</v>
      </c>
    </row>
    <row r="1231" spans="1:21" x14ac:dyDescent="0.3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  <c r="U1231">
        <f>IF(ChurnData[[#This Row],[churn]]="yes",1,0)</f>
        <v>0</v>
      </c>
    </row>
    <row r="1232" spans="1:21" x14ac:dyDescent="0.3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  <c r="U1232">
        <f>IF(ChurnData[[#This Row],[churn]]="yes",1,0)</f>
        <v>1</v>
      </c>
    </row>
    <row r="1233" spans="1:21" x14ac:dyDescent="0.3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  <c r="U1233">
        <f>IF(ChurnData[[#This Row],[churn]]="yes",1,0)</f>
        <v>0</v>
      </c>
    </row>
    <row r="1234" spans="1:21" x14ac:dyDescent="0.3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  <c r="U1234">
        <f>IF(ChurnData[[#This Row],[churn]]="yes",1,0)</f>
        <v>0</v>
      </c>
    </row>
    <row r="1235" spans="1:21" x14ac:dyDescent="0.3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  <c r="U1235">
        <f>IF(ChurnData[[#This Row],[churn]]="yes",1,0)</f>
        <v>0</v>
      </c>
    </row>
    <row r="1236" spans="1:21" x14ac:dyDescent="0.3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  <c r="U1236">
        <f>IF(ChurnData[[#This Row],[churn]]="yes",1,0)</f>
        <v>0</v>
      </c>
    </row>
    <row r="1237" spans="1:21" x14ac:dyDescent="0.3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  <c r="U1237">
        <f>IF(ChurnData[[#This Row],[churn]]="yes",1,0)</f>
        <v>0</v>
      </c>
    </row>
    <row r="1238" spans="1:21" x14ac:dyDescent="0.3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  <c r="U1238">
        <f>IF(ChurnData[[#This Row],[churn]]="yes",1,0)</f>
        <v>0</v>
      </c>
    </row>
    <row r="1239" spans="1:21" x14ac:dyDescent="0.3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  <c r="U1239">
        <f>IF(ChurnData[[#This Row],[churn]]="yes",1,0)</f>
        <v>0</v>
      </c>
    </row>
    <row r="1240" spans="1:21" x14ac:dyDescent="0.3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  <c r="U1240">
        <f>IF(ChurnData[[#This Row],[churn]]="yes",1,0)</f>
        <v>0</v>
      </c>
    </row>
    <row r="1241" spans="1:21" x14ac:dyDescent="0.3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  <c r="U1241">
        <f>IF(ChurnData[[#This Row],[churn]]="yes",1,0)</f>
        <v>0</v>
      </c>
    </row>
    <row r="1242" spans="1:21" x14ac:dyDescent="0.3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  <c r="U1242">
        <f>IF(ChurnData[[#This Row],[churn]]="yes",1,0)</f>
        <v>0</v>
      </c>
    </row>
    <row r="1243" spans="1:21" x14ac:dyDescent="0.3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  <c r="U1243">
        <f>IF(ChurnData[[#This Row],[churn]]="yes",1,0)</f>
        <v>0</v>
      </c>
    </row>
    <row r="1244" spans="1:21" x14ac:dyDescent="0.3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  <c r="U1244">
        <f>IF(ChurnData[[#This Row],[churn]]="yes",1,0)</f>
        <v>1</v>
      </c>
    </row>
    <row r="1245" spans="1:21" x14ac:dyDescent="0.3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  <c r="U1245">
        <f>IF(ChurnData[[#This Row],[churn]]="yes",1,0)</f>
        <v>0</v>
      </c>
    </row>
    <row r="1246" spans="1:21" x14ac:dyDescent="0.3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  <c r="U1246">
        <f>IF(ChurnData[[#This Row],[churn]]="yes",1,0)</f>
        <v>0</v>
      </c>
    </row>
    <row r="1247" spans="1:21" x14ac:dyDescent="0.3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  <c r="U1247">
        <f>IF(ChurnData[[#This Row],[churn]]="yes",1,0)</f>
        <v>0</v>
      </c>
    </row>
    <row r="1248" spans="1:21" x14ac:dyDescent="0.3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  <c r="U1248">
        <f>IF(ChurnData[[#This Row],[churn]]="yes",1,0)</f>
        <v>0</v>
      </c>
    </row>
    <row r="1249" spans="1:21" x14ac:dyDescent="0.3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  <c r="U1249">
        <f>IF(ChurnData[[#This Row],[churn]]="yes",1,0)</f>
        <v>0</v>
      </c>
    </row>
    <row r="1250" spans="1:21" x14ac:dyDescent="0.3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  <c r="U1250">
        <f>IF(ChurnData[[#This Row],[churn]]="yes",1,0)</f>
        <v>0</v>
      </c>
    </row>
    <row r="1251" spans="1:21" x14ac:dyDescent="0.3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  <c r="U1251">
        <f>IF(ChurnData[[#This Row],[churn]]="yes",1,0)</f>
        <v>0</v>
      </c>
    </row>
    <row r="1252" spans="1:21" x14ac:dyDescent="0.3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  <c r="U1252">
        <f>IF(ChurnData[[#This Row],[churn]]="yes",1,0)</f>
        <v>0</v>
      </c>
    </row>
    <row r="1253" spans="1:21" x14ac:dyDescent="0.3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  <c r="U1253">
        <f>IF(ChurnData[[#This Row],[churn]]="yes",1,0)</f>
        <v>0</v>
      </c>
    </row>
    <row r="1254" spans="1:21" x14ac:dyDescent="0.3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  <c r="U1254">
        <f>IF(ChurnData[[#This Row],[churn]]="yes",1,0)</f>
        <v>0</v>
      </c>
    </row>
    <row r="1255" spans="1:21" x14ac:dyDescent="0.3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  <c r="U1255">
        <f>IF(ChurnData[[#This Row],[churn]]="yes",1,0)</f>
        <v>1</v>
      </c>
    </row>
    <row r="1256" spans="1:21" x14ac:dyDescent="0.3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  <c r="U1256">
        <f>IF(ChurnData[[#This Row],[churn]]="yes",1,0)</f>
        <v>0</v>
      </c>
    </row>
    <row r="1257" spans="1:21" x14ac:dyDescent="0.3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  <c r="U1257">
        <f>IF(ChurnData[[#This Row],[churn]]="yes",1,0)</f>
        <v>0</v>
      </c>
    </row>
    <row r="1258" spans="1:21" x14ac:dyDescent="0.3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  <c r="U1258">
        <f>IF(ChurnData[[#This Row],[churn]]="yes",1,0)</f>
        <v>0</v>
      </c>
    </row>
    <row r="1259" spans="1:21" x14ac:dyDescent="0.3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  <c r="U1259">
        <f>IF(ChurnData[[#This Row],[churn]]="yes",1,0)</f>
        <v>0</v>
      </c>
    </row>
    <row r="1260" spans="1:21" x14ac:dyDescent="0.3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  <c r="U1260">
        <f>IF(ChurnData[[#This Row],[churn]]="yes",1,0)</f>
        <v>0</v>
      </c>
    </row>
    <row r="1261" spans="1:21" x14ac:dyDescent="0.3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  <c r="U1261">
        <f>IF(ChurnData[[#This Row],[churn]]="yes",1,0)</f>
        <v>0</v>
      </c>
    </row>
    <row r="1262" spans="1:21" x14ac:dyDescent="0.3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  <c r="U1262">
        <f>IF(ChurnData[[#This Row],[churn]]="yes",1,0)</f>
        <v>0</v>
      </c>
    </row>
    <row r="1263" spans="1:21" x14ac:dyDescent="0.3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  <c r="U1263">
        <f>IF(ChurnData[[#This Row],[churn]]="yes",1,0)</f>
        <v>0</v>
      </c>
    </row>
    <row r="1264" spans="1:21" x14ac:dyDescent="0.3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  <c r="U1264">
        <f>IF(ChurnData[[#This Row],[churn]]="yes",1,0)</f>
        <v>0</v>
      </c>
    </row>
    <row r="1265" spans="1:21" x14ac:dyDescent="0.3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  <c r="U1265">
        <f>IF(ChurnData[[#This Row],[churn]]="yes",1,0)</f>
        <v>0</v>
      </c>
    </row>
    <row r="1266" spans="1:21" x14ac:dyDescent="0.3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  <c r="U1266">
        <f>IF(ChurnData[[#This Row],[churn]]="yes",1,0)</f>
        <v>0</v>
      </c>
    </row>
    <row r="1267" spans="1:21" x14ac:dyDescent="0.3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  <c r="U1267">
        <f>IF(ChurnData[[#This Row],[churn]]="yes",1,0)</f>
        <v>0</v>
      </c>
    </row>
    <row r="1268" spans="1:21" x14ac:dyDescent="0.3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  <c r="U1268">
        <f>IF(ChurnData[[#This Row],[churn]]="yes",1,0)</f>
        <v>0</v>
      </c>
    </row>
    <row r="1269" spans="1:21" x14ac:dyDescent="0.3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  <c r="U1269">
        <f>IF(ChurnData[[#This Row],[churn]]="yes",1,0)</f>
        <v>0</v>
      </c>
    </row>
    <row r="1270" spans="1:21" x14ac:dyDescent="0.3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  <c r="U1270">
        <f>IF(ChurnData[[#This Row],[churn]]="yes",1,0)</f>
        <v>0</v>
      </c>
    </row>
    <row r="1271" spans="1:21" x14ac:dyDescent="0.3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  <c r="U1271">
        <f>IF(ChurnData[[#This Row],[churn]]="yes",1,0)</f>
        <v>0</v>
      </c>
    </row>
    <row r="1272" spans="1:21" x14ac:dyDescent="0.3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  <c r="U1272">
        <f>IF(ChurnData[[#This Row],[churn]]="yes",1,0)</f>
        <v>0</v>
      </c>
    </row>
    <row r="1273" spans="1:21" x14ac:dyDescent="0.3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  <c r="U1273">
        <f>IF(ChurnData[[#This Row],[churn]]="yes",1,0)</f>
        <v>0</v>
      </c>
    </row>
    <row r="1274" spans="1:21" x14ac:dyDescent="0.3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  <c r="U1274">
        <f>IF(ChurnData[[#This Row],[churn]]="yes",1,0)</f>
        <v>0</v>
      </c>
    </row>
    <row r="1275" spans="1:21" x14ac:dyDescent="0.3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  <c r="U1275">
        <f>IF(ChurnData[[#This Row],[churn]]="yes",1,0)</f>
        <v>0</v>
      </c>
    </row>
    <row r="1276" spans="1:21" x14ac:dyDescent="0.3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  <c r="U1276">
        <f>IF(ChurnData[[#This Row],[churn]]="yes",1,0)</f>
        <v>0</v>
      </c>
    </row>
    <row r="1277" spans="1:21" x14ac:dyDescent="0.3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  <c r="U1277">
        <f>IF(ChurnData[[#This Row],[churn]]="yes",1,0)</f>
        <v>0</v>
      </c>
    </row>
    <row r="1278" spans="1:21" x14ac:dyDescent="0.3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  <c r="U1278">
        <f>IF(ChurnData[[#This Row],[churn]]="yes",1,0)</f>
        <v>0</v>
      </c>
    </row>
    <row r="1279" spans="1:21" x14ac:dyDescent="0.3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  <c r="U1279">
        <f>IF(ChurnData[[#This Row],[churn]]="yes",1,0)</f>
        <v>0</v>
      </c>
    </row>
    <row r="1280" spans="1:21" x14ac:dyDescent="0.3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  <c r="U1280">
        <f>IF(ChurnData[[#This Row],[churn]]="yes",1,0)</f>
        <v>0</v>
      </c>
    </row>
    <row r="1281" spans="1:21" x14ac:dyDescent="0.3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  <c r="U1281">
        <f>IF(ChurnData[[#This Row],[churn]]="yes",1,0)</f>
        <v>0</v>
      </c>
    </row>
    <row r="1282" spans="1:21" x14ac:dyDescent="0.3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  <c r="U1282">
        <f>IF(ChurnData[[#This Row],[churn]]="yes",1,0)</f>
        <v>0</v>
      </c>
    </row>
    <row r="1283" spans="1:21" x14ac:dyDescent="0.3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  <c r="U1283">
        <f>IF(ChurnData[[#This Row],[churn]]="yes",1,0)</f>
        <v>0</v>
      </c>
    </row>
    <row r="1284" spans="1:21" x14ac:dyDescent="0.3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  <c r="U1284">
        <f>IF(ChurnData[[#This Row],[churn]]="yes",1,0)</f>
        <v>0</v>
      </c>
    </row>
    <row r="1285" spans="1:21" x14ac:dyDescent="0.3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  <c r="U1285">
        <f>IF(ChurnData[[#This Row],[churn]]="yes",1,0)</f>
        <v>0</v>
      </c>
    </row>
    <row r="1286" spans="1:21" x14ac:dyDescent="0.3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  <c r="U1286">
        <f>IF(ChurnData[[#This Row],[churn]]="yes",1,0)</f>
        <v>0</v>
      </c>
    </row>
    <row r="1287" spans="1:21" x14ac:dyDescent="0.3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  <c r="U1287">
        <f>IF(ChurnData[[#This Row],[churn]]="yes",1,0)</f>
        <v>0</v>
      </c>
    </row>
    <row r="1288" spans="1:21" x14ac:dyDescent="0.3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  <c r="U1288">
        <f>IF(ChurnData[[#This Row],[churn]]="yes",1,0)</f>
        <v>0</v>
      </c>
    </row>
    <row r="1289" spans="1:21" x14ac:dyDescent="0.3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  <c r="U1289">
        <f>IF(ChurnData[[#This Row],[churn]]="yes",1,0)</f>
        <v>0</v>
      </c>
    </row>
    <row r="1290" spans="1:21" x14ac:dyDescent="0.3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  <c r="U1290">
        <f>IF(ChurnData[[#This Row],[churn]]="yes",1,0)</f>
        <v>1</v>
      </c>
    </row>
    <row r="1291" spans="1:21" x14ac:dyDescent="0.3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  <c r="U1291">
        <f>IF(ChurnData[[#This Row],[churn]]="yes",1,0)</f>
        <v>0</v>
      </c>
    </row>
    <row r="1292" spans="1:21" x14ac:dyDescent="0.3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  <c r="U1292">
        <f>IF(ChurnData[[#This Row],[churn]]="yes",1,0)</f>
        <v>1</v>
      </c>
    </row>
    <row r="1293" spans="1:21" x14ac:dyDescent="0.3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  <c r="U1293">
        <f>IF(ChurnData[[#This Row],[churn]]="yes",1,0)</f>
        <v>1</v>
      </c>
    </row>
    <row r="1294" spans="1:21" x14ac:dyDescent="0.3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  <c r="U1294">
        <f>IF(ChurnData[[#This Row],[churn]]="yes",1,0)</f>
        <v>1</v>
      </c>
    </row>
    <row r="1295" spans="1:21" x14ac:dyDescent="0.3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  <c r="U1295">
        <f>IF(ChurnData[[#This Row],[churn]]="yes",1,0)</f>
        <v>1</v>
      </c>
    </row>
    <row r="1296" spans="1:21" x14ac:dyDescent="0.3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  <c r="U1296">
        <f>IF(ChurnData[[#This Row],[churn]]="yes",1,0)</f>
        <v>0</v>
      </c>
    </row>
    <row r="1297" spans="1:21" x14ac:dyDescent="0.3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  <c r="U1297">
        <f>IF(ChurnData[[#This Row],[churn]]="yes",1,0)</f>
        <v>0</v>
      </c>
    </row>
    <row r="1298" spans="1:21" x14ac:dyDescent="0.3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  <c r="U1298">
        <f>IF(ChurnData[[#This Row],[churn]]="yes",1,0)</f>
        <v>1</v>
      </c>
    </row>
    <row r="1299" spans="1:21" x14ac:dyDescent="0.3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  <c r="U1299">
        <f>IF(ChurnData[[#This Row],[churn]]="yes",1,0)</f>
        <v>0</v>
      </c>
    </row>
    <row r="1300" spans="1:21" x14ac:dyDescent="0.3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  <c r="U1300">
        <f>IF(ChurnData[[#This Row],[churn]]="yes",1,0)</f>
        <v>0</v>
      </c>
    </row>
    <row r="1301" spans="1:21" x14ac:dyDescent="0.3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  <c r="U1301">
        <f>IF(ChurnData[[#This Row],[churn]]="yes",1,0)</f>
        <v>0</v>
      </c>
    </row>
    <row r="1302" spans="1:21" x14ac:dyDescent="0.3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  <c r="U1302">
        <f>IF(ChurnData[[#This Row],[churn]]="yes",1,0)</f>
        <v>0</v>
      </c>
    </row>
    <row r="1303" spans="1:21" x14ac:dyDescent="0.3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  <c r="U1303">
        <f>IF(ChurnData[[#This Row],[churn]]="yes",1,0)</f>
        <v>0</v>
      </c>
    </row>
    <row r="1304" spans="1:21" x14ac:dyDescent="0.3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  <c r="U1304">
        <f>IF(ChurnData[[#This Row],[churn]]="yes",1,0)</f>
        <v>0</v>
      </c>
    </row>
    <row r="1305" spans="1:21" x14ac:dyDescent="0.3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  <c r="U1305">
        <f>IF(ChurnData[[#This Row],[churn]]="yes",1,0)</f>
        <v>0</v>
      </c>
    </row>
    <row r="1306" spans="1:21" x14ac:dyDescent="0.3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  <c r="U1306">
        <f>IF(ChurnData[[#This Row],[churn]]="yes",1,0)</f>
        <v>1</v>
      </c>
    </row>
    <row r="1307" spans="1:21" x14ac:dyDescent="0.3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  <c r="U1307">
        <f>IF(ChurnData[[#This Row],[churn]]="yes",1,0)</f>
        <v>0</v>
      </c>
    </row>
    <row r="1308" spans="1:21" x14ac:dyDescent="0.3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  <c r="U1308">
        <f>IF(ChurnData[[#This Row],[churn]]="yes",1,0)</f>
        <v>0</v>
      </c>
    </row>
    <row r="1309" spans="1:21" x14ac:dyDescent="0.3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  <c r="U1309">
        <f>IF(ChurnData[[#This Row],[churn]]="yes",1,0)</f>
        <v>0</v>
      </c>
    </row>
    <row r="1310" spans="1:21" x14ac:dyDescent="0.3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  <c r="U1310">
        <f>IF(ChurnData[[#This Row],[churn]]="yes",1,0)</f>
        <v>0</v>
      </c>
    </row>
    <row r="1311" spans="1:21" x14ac:dyDescent="0.3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  <c r="U1311">
        <f>IF(ChurnData[[#This Row],[churn]]="yes",1,0)</f>
        <v>0</v>
      </c>
    </row>
    <row r="1312" spans="1:21" x14ac:dyDescent="0.3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  <c r="U1312">
        <f>IF(ChurnData[[#This Row],[churn]]="yes",1,0)</f>
        <v>0</v>
      </c>
    </row>
    <row r="1313" spans="1:21" x14ac:dyDescent="0.3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  <c r="U1313">
        <f>IF(ChurnData[[#This Row],[churn]]="yes",1,0)</f>
        <v>0</v>
      </c>
    </row>
    <row r="1314" spans="1:21" x14ac:dyDescent="0.3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  <c r="U1314">
        <f>IF(ChurnData[[#This Row],[churn]]="yes",1,0)</f>
        <v>0</v>
      </c>
    </row>
    <row r="1315" spans="1:21" x14ac:dyDescent="0.3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  <c r="U1315">
        <f>IF(ChurnData[[#This Row],[churn]]="yes",1,0)</f>
        <v>0</v>
      </c>
    </row>
    <row r="1316" spans="1:21" x14ac:dyDescent="0.3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  <c r="U1316">
        <f>IF(ChurnData[[#This Row],[churn]]="yes",1,0)</f>
        <v>0</v>
      </c>
    </row>
    <row r="1317" spans="1:21" x14ac:dyDescent="0.3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  <c r="U1317">
        <f>IF(ChurnData[[#This Row],[churn]]="yes",1,0)</f>
        <v>0</v>
      </c>
    </row>
    <row r="1318" spans="1:21" x14ac:dyDescent="0.3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  <c r="U1318">
        <f>IF(ChurnData[[#This Row],[churn]]="yes",1,0)</f>
        <v>0</v>
      </c>
    </row>
    <row r="1319" spans="1:21" x14ac:dyDescent="0.3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  <c r="U1319">
        <f>IF(ChurnData[[#This Row],[churn]]="yes",1,0)</f>
        <v>0</v>
      </c>
    </row>
    <row r="1320" spans="1:21" x14ac:dyDescent="0.3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  <c r="U1320">
        <f>IF(ChurnData[[#This Row],[churn]]="yes",1,0)</f>
        <v>0</v>
      </c>
    </row>
    <row r="1321" spans="1:21" x14ac:dyDescent="0.3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  <c r="U1321">
        <f>IF(ChurnData[[#This Row],[churn]]="yes",1,0)</f>
        <v>0</v>
      </c>
    </row>
    <row r="1322" spans="1:21" x14ac:dyDescent="0.3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  <c r="U1322">
        <f>IF(ChurnData[[#This Row],[churn]]="yes",1,0)</f>
        <v>0</v>
      </c>
    </row>
    <row r="1323" spans="1:21" x14ac:dyDescent="0.3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  <c r="U1323">
        <f>IF(ChurnData[[#This Row],[churn]]="yes",1,0)</f>
        <v>0</v>
      </c>
    </row>
    <row r="1324" spans="1:21" x14ac:dyDescent="0.3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  <c r="U1324">
        <f>IF(ChurnData[[#This Row],[churn]]="yes",1,0)</f>
        <v>0</v>
      </c>
    </row>
    <row r="1325" spans="1:21" x14ac:dyDescent="0.3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  <c r="U1325">
        <f>IF(ChurnData[[#This Row],[churn]]="yes",1,0)</f>
        <v>0</v>
      </c>
    </row>
    <row r="1326" spans="1:21" x14ac:dyDescent="0.3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  <c r="U1326">
        <f>IF(ChurnData[[#This Row],[churn]]="yes",1,0)</f>
        <v>0</v>
      </c>
    </row>
    <row r="1327" spans="1:21" x14ac:dyDescent="0.3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  <c r="U1327">
        <f>IF(ChurnData[[#This Row],[churn]]="yes",1,0)</f>
        <v>0</v>
      </c>
    </row>
    <row r="1328" spans="1:21" x14ac:dyDescent="0.3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  <c r="U1328">
        <f>IF(ChurnData[[#This Row],[churn]]="yes",1,0)</f>
        <v>0</v>
      </c>
    </row>
    <row r="1329" spans="1:21" x14ac:dyDescent="0.3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  <c r="U1329">
        <f>IF(ChurnData[[#This Row],[churn]]="yes",1,0)</f>
        <v>0</v>
      </c>
    </row>
    <row r="1330" spans="1:21" x14ac:dyDescent="0.3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  <c r="U1330">
        <f>IF(ChurnData[[#This Row],[churn]]="yes",1,0)</f>
        <v>0</v>
      </c>
    </row>
    <row r="1331" spans="1:21" x14ac:dyDescent="0.3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  <c r="U1331">
        <f>IF(ChurnData[[#This Row],[churn]]="yes",1,0)</f>
        <v>0</v>
      </c>
    </row>
    <row r="1332" spans="1:21" x14ac:dyDescent="0.3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  <c r="U1332">
        <f>IF(ChurnData[[#This Row],[churn]]="yes",1,0)</f>
        <v>0</v>
      </c>
    </row>
    <row r="1333" spans="1:21" x14ac:dyDescent="0.3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  <c r="U1333">
        <f>IF(ChurnData[[#This Row],[churn]]="yes",1,0)</f>
        <v>0</v>
      </c>
    </row>
    <row r="1334" spans="1:21" x14ac:dyDescent="0.3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  <c r="U1334">
        <f>IF(ChurnData[[#This Row],[churn]]="yes",1,0)</f>
        <v>0</v>
      </c>
    </row>
    <row r="1335" spans="1:21" x14ac:dyDescent="0.3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  <c r="U1335">
        <f>IF(ChurnData[[#This Row],[churn]]="yes",1,0)</f>
        <v>0</v>
      </c>
    </row>
    <row r="1336" spans="1:21" x14ac:dyDescent="0.3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  <c r="U1336">
        <f>IF(ChurnData[[#This Row],[churn]]="yes",1,0)</f>
        <v>0</v>
      </c>
    </row>
    <row r="1337" spans="1:21" x14ac:dyDescent="0.3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  <c r="U1337">
        <f>IF(ChurnData[[#This Row],[churn]]="yes",1,0)</f>
        <v>0</v>
      </c>
    </row>
    <row r="1338" spans="1:21" x14ac:dyDescent="0.3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  <c r="U1338">
        <f>IF(ChurnData[[#This Row],[churn]]="yes",1,0)</f>
        <v>0</v>
      </c>
    </row>
    <row r="1339" spans="1:21" x14ac:dyDescent="0.3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  <c r="U1339">
        <f>IF(ChurnData[[#This Row],[churn]]="yes",1,0)</f>
        <v>1</v>
      </c>
    </row>
    <row r="1340" spans="1:21" x14ac:dyDescent="0.3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  <c r="U1340">
        <f>IF(ChurnData[[#This Row],[churn]]="yes",1,0)</f>
        <v>0</v>
      </c>
    </row>
    <row r="1341" spans="1:21" x14ac:dyDescent="0.3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  <c r="U1341">
        <f>IF(ChurnData[[#This Row],[churn]]="yes",1,0)</f>
        <v>0</v>
      </c>
    </row>
    <row r="1342" spans="1:21" x14ac:dyDescent="0.3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  <c r="U1342">
        <f>IF(ChurnData[[#This Row],[churn]]="yes",1,0)</f>
        <v>0</v>
      </c>
    </row>
    <row r="1343" spans="1:21" x14ac:dyDescent="0.3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  <c r="U1343">
        <f>IF(ChurnData[[#This Row],[churn]]="yes",1,0)</f>
        <v>0</v>
      </c>
    </row>
    <row r="1344" spans="1:21" x14ac:dyDescent="0.3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  <c r="U1344">
        <f>IF(ChurnData[[#This Row],[churn]]="yes",1,0)</f>
        <v>0</v>
      </c>
    </row>
    <row r="1345" spans="1:21" x14ac:dyDescent="0.3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  <c r="U1345">
        <f>IF(ChurnData[[#This Row],[churn]]="yes",1,0)</f>
        <v>0</v>
      </c>
    </row>
    <row r="1346" spans="1:21" x14ac:dyDescent="0.3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  <c r="U1346">
        <f>IF(ChurnData[[#This Row],[churn]]="yes",1,0)</f>
        <v>1</v>
      </c>
    </row>
    <row r="1347" spans="1:21" x14ac:dyDescent="0.3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  <c r="U1347">
        <f>IF(ChurnData[[#This Row],[churn]]="yes",1,0)</f>
        <v>0</v>
      </c>
    </row>
    <row r="1348" spans="1:21" x14ac:dyDescent="0.3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  <c r="U1348">
        <f>IF(ChurnData[[#This Row],[churn]]="yes",1,0)</f>
        <v>0</v>
      </c>
    </row>
    <row r="1349" spans="1:21" x14ac:dyDescent="0.3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  <c r="U1349">
        <f>IF(ChurnData[[#This Row],[churn]]="yes",1,0)</f>
        <v>0</v>
      </c>
    </row>
    <row r="1350" spans="1:21" x14ac:dyDescent="0.3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  <c r="U1350">
        <f>IF(ChurnData[[#This Row],[churn]]="yes",1,0)</f>
        <v>0</v>
      </c>
    </row>
    <row r="1351" spans="1:21" x14ac:dyDescent="0.3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  <c r="U1351">
        <f>IF(ChurnData[[#This Row],[churn]]="yes",1,0)</f>
        <v>0</v>
      </c>
    </row>
    <row r="1352" spans="1:21" x14ac:dyDescent="0.3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  <c r="U1352">
        <f>IF(ChurnData[[#This Row],[churn]]="yes",1,0)</f>
        <v>0</v>
      </c>
    </row>
    <row r="1353" spans="1:21" x14ac:dyDescent="0.3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  <c r="U1353">
        <f>IF(ChurnData[[#This Row],[churn]]="yes",1,0)</f>
        <v>0</v>
      </c>
    </row>
    <row r="1354" spans="1:21" x14ac:dyDescent="0.3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  <c r="U1354">
        <f>IF(ChurnData[[#This Row],[churn]]="yes",1,0)</f>
        <v>0</v>
      </c>
    </row>
    <row r="1355" spans="1:21" x14ac:dyDescent="0.3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  <c r="U1355">
        <f>IF(ChurnData[[#This Row],[churn]]="yes",1,0)</f>
        <v>0</v>
      </c>
    </row>
    <row r="1356" spans="1:21" x14ac:dyDescent="0.3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  <c r="U1356">
        <f>IF(ChurnData[[#This Row],[churn]]="yes",1,0)</f>
        <v>0</v>
      </c>
    </row>
    <row r="1357" spans="1:21" x14ac:dyDescent="0.3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  <c r="U1357">
        <f>IF(ChurnData[[#This Row],[churn]]="yes",1,0)</f>
        <v>0</v>
      </c>
    </row>
    <row r="1358" spans="1:21" x14ac:dyDescent="0.3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  <c r="U1358">
        <f>IF(ChurnData[[#This Row],[churn]]="yes",1,0)</f>
        <v>0</v>
      </c>
    </row>
    <row r="1359" spans="1:21" x14ac:dyDescent="0.3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  <c r="U1359">
        <f>IF(ChurnData[[#This Row],[churn]]="yes",1,0)</f>
        <v>0</v>
      </c>
    </row>
    <row r="1360" spans="1:21" x14ac:dyDescent="0.3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  <c r="U1360">
        <f>IF(ChurnData[[#This Row],[churn]]="yes",1,0)</f>
        <v>0</v>
      </c>
    </row>
    <row r="1361" spans="1:21" x14ac:dyDescent="0.3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  <c r="U1361">
        <f>IF(ChurnData[[#This Row],[churn]]="yes",1,0)</f>
        <v>0</v>
      </c>
    </row>
    <row r="1362" spans="1:21" x14ac:dyDescent="0.3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  <c r="U1362">
        <f>IF(ChurnData[[#This Row],[churn]]="yes",1,0)</f>
        <v>0</v>
      </c>
    </row>
    <row r="1363" spans="1:21" x14ac:dyDescent="0.3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  <c r="U1363">
        <f>IF(ChurnData[[#This Row],[churn]]="yes",1,0)</f>
        <v>0</v>
      </c>
    </row>
    <row r="1364" spans="1:21" x14ac:dyDescent="0.3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  <c r="U1364">
        <f>IF(ChurnData[[#This Row],[churn]]="yes",1,0)</f>
        <v>0</v>
      </c>
    </row>
    <row r="1365" spans="1:21" x14ac:dyDescent="0.3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  <c r="U1365">
        <f>IF(ChurnData[[#This Row],[churn]]="yes",1,0)</f>
        <v>0</v>
      </c>
    </row>
    <row r="1366" spans="1:21" x14ac:dyDescent="0.3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  <c r="U1366">
        <f>IF(ChurnData[[#This Row],[churn]]="yes",1,0)</f>
        <v>0</v>
      </c>
    </row>
    <row r="1367" spans="1:21" x14ac:dyDescent="0.3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  <c r="U1367">
        <f>IF(ChurnData[[#This Row],[churn]]="yes",1,0)</f>
        <v>1</v>
      </c>
    </row>
    <row r="1368" spans="1:21" x14ac:dyDescent="0.3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  <c r="U1368">
        <f>IF(ChurnData[[#This Row],[churn]]="yes",1,0)</f>
        <v>0</v>
      </c>
    </row>
    <row r="1369" spans="1:21" x14ac:dyDescent="0.3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  <c r="U1369">
        <f>IF(ChurnData[[#This Row],[churn]]="yes",1,0)</f>
        <v>0</v>
      </c>
    </row>
    <row r="1370" spans="1:21" x14ac:dyDescent="0.3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  <c r="U1370">
        <f>IF(ChurnData[[#This Row],[churn]]="yes",1,0)</f>
        <v>0</v>
      </c>
    </row>
    <row r="1371" spans="1:21" x14ac:dyDescent="0.3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  <c r="U1371">
        <f>IF(ChurnData[[#This Row],[churn]]="yes",1,0)</f>
        <v>0</v>
      </c>
    </row>
    <row r="1372" spans="1:21" x14ac:dyDescent="0.3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  <c r="U1372">
        <f>IF(ChurnData[[#This Row],[churn]]="yes",1,0)</f>
        <v>0</v>
      </c>
    </row>
    <row r="1373" spans="1:21" x14ac:dyDescent="0.3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  <c r="U1373">
        <f>IF(ChurnData[[#This Row],[churn]]="yes",1,0)</f>
        <v>0</v>
      </c>
    </row>
    <row r="1374" spans="1:21" x14ac:dyDescent="0.3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  <c r="U1374">
        <f>IF(ChurnData[[#This Row],[churn]]="yes",1,0)</f>
        <v>0</v>
      </c>
    </row>
    <row r="1375" spans="1:21" x14ac:dyDescent="0.3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  <c r="U1375">
        <f>IF(ChurnData[[#This Row],[churn]]="yes",1,0)</f>
        <v>0</v>
      </c>
    </row>
    <row r="1376" spans="1:21" x14ac:dyDescent="0.3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  <c r="U1376">
        <f>IF(ChurnData[[#This Row],[churn]]="yes",1,0)</f>
        <v>0</v>
      </c>
    </row>
    <row r="1377" spans="1:21" x14ac:dyDescent="0.3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  <c r="U1377">
        <f>IF(ChurnData[[#This Row],[churn]]="yes",1,0)</f>
        <v>0</v>
      </c>
    </row>
    <row r="1378" spans="1:21" x14ac:dyDescent="0.3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  <c r="U1378">
        <f>IF(ChurnData[[#This Row],[churn]]="yes",1,0)</f>
        <v>0</v>
      </c>
    </row>
    <row r="1379" spans="1:21" x14ac:dyDescent="0.3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  <c r="U1379">
        <f>IF(ChurnData[[#This Row],[churn]]="yes",1,0)</f>
        <v>0</v>
      </c>
    </row>
    <row r="1380" spans="1:21" x14ac:dyDescent="0.3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  <c r="U1380">
        <f>IF(ChurnData[[#This Row],[churn]]="yes",1,0)</f>
        <v>1</v>
      </c>
    </row>
    <row r="1381" spans="1:21" x14ac:dyDescent="0.3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  <c r="U1381">
        <f>IF(ChurnData[[#This Row],[churn]]="yes",1,0)</f>
        <v>0</v>
      </c>
    </row>
    <row r="1382" spans="1:21" x14ac:dyDescent="0.3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  <c r="U1382">
        <f>IF(ChurnData[[#This Row],[churn]]="yes",1,0)</f>
        <v>1</v>
      </c>
    </row>
    <row r="1383" spans="1:21" x14ac:dyDescent="0.3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  <c r="U1383">
        <f>IF(ChurnData[[#This Row],[churn]]="yes",1,0)</f>
        <v>0</v>
      </c>
    </row>
    <row r="1384" spans="1:21" x14ac:dyDescent="0.3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  <c r="U1384">
        <f>IF(ChurnData[[#This Row],[churn]]="yes",1,0)</f>
        <v>0</v>
      </c>
    </row>
    <row r="1385" spans="1:21" x14ac:dyDescent="0.3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  <c r="U1385">
        <f>IF(ChurnData[[#This Row],[churn]]="yes",1,0)</f>
        <v>0</v>
      </c>
    </row>
    <row r="1386" spans="1:21" x14ac:dyDescent="0.3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  <c r="U1386">
        <f>IF(ChurnData[[#This Row],[churn]]="yes",1,0)</f>
        <v>0</v>
      </c>
    </row>
    <row r="1387" spans="1:21" x14ac:dyDescent="0.3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  <c r="U1387">
        <f>IF(ChurnData[[#This Row],[churn]]="yes",1,0)</f>
        <v>0</v>
      </c>
    </row>
    <row r="1388" spans="1:21" x14ac:dyDescent="0.3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  <c r="U1388">
        <f>IF(ChurnData[[#This Row],[churn]]="yes",1,0)</f>
        <v>0</v>
      </c>
    </row>
    <row r="1389" spans="1:21" x14ac:dyDescent="0.3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  <c r="U1389">
        <f>IF(ChurnData[[#This Row],[churn]]="yes",1,0)</f>
        <v>1</v>
      </c>
    </row>
    <row r="1390" spans="1:21" x14ac:dyDescent="0.3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  <c r="U1390">
        <f>IF(ChurnData[[#This Row],[churn]]="yes",1,0)</f>
        <v>0</v>
      </c>
    </row>
    <row r="1391" spans="1:21" x14ac:dyDescent="0.3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  <c r="U1391">
        <f>IF(ChurnData[[#This Row],[churn]]="yes",1,0)</f>
        <v>0</v>
      </c>
    </row>
    <row r="1392" spans="1:21" x14ac:dyDescent="0.3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  <c r="U1392">
        <f>IF(ChurnData[[#This Row],[churn]]="yes",1,0)</f>
        <v>0</v>
      </c>
    </row>
    <row r="1393" spans="1:21" x14ac:dyDescent="0.3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  <c r="U1393">
        <f>IF(ChurnData[[#This Row],[churn]]="yes",1,0)</f>
        <v>0</v>
      </c>
    </row>
    <row r="1394" spans="1:21" x14ac:dyDescent="0.3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  <c r="U1394">
        <f>IF(ChurnData[[#This Row],[churn]]="yes",1,0)</f>
        <v>1</v>
      </c>
    </row>
    <row r="1395" spans="1:21" x14ac:dyDescent="0.3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  <c r="U1395">
        <f>IF(ChurnData[[#This Row],[churn]]="yes",1,0)</f>
        <v>0</v>
      </c>
    </row>
    <row r="1396" spans="1:21" x14ac:dyDescent="0.3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  <c r="U1396">
        <f>IF(ChurnData[[#This Row],[churn]]="yes",1,0)</f>
        <v>1</v>
      </c>
    </row>
    <row r="1397" spans="1:21" x14ac:dyDescent="0.3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  <c r="U1397">
        <f>IF(ChurnData[[#This Row],[churn]]="yes",1,0)</f>
        <v>0</v>
      </c>
    </row>
    <row r="1398" spans="1:21" x14ac:dyDescent="0.3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  <c r="U1398">
        <f>IF(ChurnData[[#This Row],[churn]]="yes",1,0)</f>
        <v>0</v>
      </c>
    </row>
    <row r="1399" spans="1:21" x14ac:dyDescent="0.3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  <c r="U1399">
        <f>IF(ChurnData[[#This Row],[churn]]="yes",1,0)</f>
        <v>0</v>
      </c>
    </row>
    <row r="1400" spans="1:21" x14ac:dyDescent="0.3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  <c r="U1400">
        <f>IF(ChurnData[[#This Row],[churn]]="yes",1,0)</f>
        <v>0</v>
      </c>
    </row>
    <row r="1401" spans="1:21" x14ac:dyDescent="0.3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  <c r="U1401">
        <f>IF(ChurnData[[#This Row],[churn]]="yes",1,0)</f>
        <v>0</v>
      </c>
    </row>
    <row r="1402" spans="1:21" x14ac:dyDescent="0.3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  <c r="U1402">
        <f>IF(ChurnData[[#This Row],[churn]]="yes",1,0)</f>
        <v>0</v>
      </c>
    </row>
    <row r="1403" spans="1:21" x14ac:dyDescent="0.3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  <c r="U1403">
        <f>IF(ChurnData[[#This Row],[churn]]="yes",1,0)</f>
        <v>0</v>
      </c>
    </row>
    <row r="1404" spans="1:21" x14ac:dyDescent="0.3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  <c r="U1404">
        <f>IF(ChurnData[[#This Row],[churn]]="yes",1,0)</f>
        <v>1</v>
      </c>
    </row>
    <row r="1405" spans="1:21" x14ac:dyDescent="0.3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  <c r="U1405">
        <f>IF(ChurnData[[#This Row],[churn]]="yes",1,0)</f>
        <v>0</v>
      </c>
    </row>
    <row r="1406" spans="1:21" x14ac:dyDescent="0.3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  <c r="U1406">
        <f>IF(ChurnData[[#This Row],[churn]]="yes",1,0)</f>
        <v>0</v>
      </c>
    </row>
    <row r="1407" spans="1:21" x14ac:dyDescent="0.3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  <c r="U1407">
        <f>IF(ChurnData[[#This Row],[churn]]="yes",1,0)</f>
        <v>0</v>
      </c>
    </row>
    <row r="1408" spans="1:21" x14ac:dyDescent="0.3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  <c r="U1408">
        <f>IF(ChurnData[[#This Row],[churn]]="yes",1,0)</f>
        <v>0</v>
      </c>
    </row>
    <row r="1409" spans="1:21" x14ac:dyDescent="0.3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  <c r="U1409">
        <f>IF(ChurnData[[#This Row],[churn]]="yes",1,0)</f>
        <v>0</v>
      </c>
    </row>
    <row r="1410" spans="1:21" x14ac:dyDescent="0.3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  <c r="U1410">
        <f>IF(ChurnData[[#This Row],[churn]]="yes",1,0)</f>
        <v>0</v>
      </c>
    </row>
    <row r="1411" spans="1:21" x14ac:dyDescent="0.3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  <c r="U1411">
        <f>IF(ChurnData[[#This Row],[churn]]="yes",1,0)</f>
        <v>0</v>
      </c>
    </row>
    <row r="1412" spans="1:21" x14ac:dyDescent="0.3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  <c r="U1412">
        <f>IF(ChurnData[[#This Row],[churn]]="yes",1,0)</f>
        <v>0</v>
      </c>
    </row>
    <row r="1413" spans="1:21" x14ac:dyDescent="0.3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  <c r="U1413">
        <f>IF(ChurnData[[#This Row],[churn]]="yes",1,0)</f>
        <v>1</v>
      </c>
    </row>
    <row r="1414" spans="1:21" x14ac:dyDescent="0.3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  <c r="U1414">
        <f>IF(ChurnData[[#This Row],[churn]]="yes",1,0)</f>
        <v>0</v>
      </c>
    </row>
    <row r="1415" spans="1:21" x14ac:dyDescent="0.3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  <c r="U1415">
        <f>IF(ChurnData[[#This Row],[churn]]="yes",1,0)</f>
        <v>0</v>
      </c>
    </row>
    <row r="1416" spans="1:21" x14ac:dyDescent="0.3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  <c r="U1416">
        <f>IF(ChurnData[[#This Row],[churn]]="yes",1,0)</f>
        <v>0</v>
      </c>
    </row>
    <row r="1417" spans="1:21" x14ac:dyDescent="0.3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  <c r="U1417">
        <f>IF(ChurnData[[#This Row],[churn]]="yes",1,0)</f>
        <v>1</v>
      </c>
    </row>
    <row r="1418" spans="1:21" x14ac:dyDescent="0.3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  <c r="U1418">
        <f>IF(ChurnData[[#This Row],[churn]]="yes",1,0)</f>
        <v>0</v>
      </c>
    </row>
    <row r="1419" spans="1:21" x14ac:dyDescent="0.3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  <c r="U1419">
        <f>IF(ChurnData[[#This Row],[churn]]="yes",1,0)</f>
        <v>0</v>
      </c>
    </row>
    <row r="1420" spans="1:21" x14ac:dyDescent="0.3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  <c r="U1420">
        <f>IF(ChurnData[[#This Row],[churn]]="yes",1,0)</f>
        <v>0</v>
      </c>
    </row>
    <row r="1421" spans="1:21" x14ac:dyDescent="0.3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  <c r="U1421">
        <f>IF(ChurnData[[#This Row],[churn]]="yes",1,0)</f>
        <v>0</v>
      </c>
    </row>
    <row r="1422" spans="1:21" x14ac:dyDescent="0.3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  <c r="U1422">
        <f>IF(ChurnData[[#This Row],[churn]]="yes",1,0)</f>
        <v>0</v>
      </c>
    </row>
    <row r="1423" spans="1:21" x14ac:dyDescent="0.3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  <c r="U1423">
        <f>IF(ChurnData[[#This Row],[churn]]="yes",1,0)</f>
        <v>0</v>
      </c>
    </row>
    <row r="1424" spans="1:21" x14ac:dyDescent="0.3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  <c r="U1424">
        <f>IF(ChurnData[[#This Row],[churn]]="yes",1,0)</f>
        <v>0</v>
      </c>
    </row>
    <row r="1425" spans="1:21" x14ac:dyDescent="0.3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  <c r="U1425">
        <f>IF(ChurnData[[#This Row],[churn]]="yes",1,0)</f>
        <v>0</v>
      </c>
    </row>
    <row r="1426" spans="1:21" x14ac:dyDescent="0.3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  <c r="U1426">
        <f>IF(ChurnData[[#This Row],[churn]]="yes",1,0)</f>
        <v>1</v>
      </c>
    </row>
    <row r="1427" spans="1:21" x14ac:dyDescent="0.3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  <c r="U1427">
        <f>IF(ChurnData[[#This Row],[churn]]="yes",1,0)</f>
        <v>1</v>
      </c>
    </row>
    <row r="1428" spans="1:21" x14ac:dyDescent="0.3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  <c r="U1428">
        <f>IF(ChurnData[[#This Row],[churn]]="yes",1,0)</f>
        <v>0</v>
      </c>
    </row>
    <row r="1429" spans="1:21" x14ac:dyDescent="0.3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  <c r="U1429">
        <f>IF(ChurnData[[#This Row],[churn]]="yes",1,0)</f>
        <v>1</v>
      </c>
    </row>
    <row r="1430" spans="1:21" x14ac:dyDescent="0.3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  <c r="U1430">
        <f>IF(ChurnData[[#This Row],[churn]]="yes",1,0)</f>
        <v>0</v>
      </c>
    </row>
    <row r="1431" spans="1:21" x14ac:dyDescent="0.3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  <c r="U1431">
        <f>IF(ChurnData[[#This Row],[churn]]="yes",1,0)</f>
        <v>0</v>
      </c>
    </row>
    <row r="1432" spans="1:21" x14ac:dyDescent="0.3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  <c r="U1432">
        <f>IF(ChurnData[[#This Row],[churn]]="yes",1,0)</f>
        <v>0</v>
      </c>
    </row>
    <row r="1433" spans="1:21" x14ac:dyDescent="0.3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  <c r="U1433">
        <f>IF(ChurnData[[#This Row],[churn]]="yes",1,0)</f>
        <v>0</v>
      </c>
    </row>
    <row r="1434" spans="1:21" x14ac:dyDescent="0.3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  <c r="U1434">
        <f>IF(ChurnData[[#This Row],[churn]]="yes",1,0)</f>
        <v>0</v>
      </c>
    </row>
    <row r="1435" spans="1:21" x14ac:dyDescent="0.3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  <c r="U1435">
        <f>IF(ChurnData[[#This Row],[churn]]="yes",1,0)</f>
        <v>1</v>
      </c>
    </row>
    <row r="1436" spans="1:21" x14ac:dyDescent="0.3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  <c r="U1436">
        <f>IF(ChurnData[[#This Row],[churn]]="yes",1,0)</f>
        <v>0</v>
      </c>
    </row>
    <row r="1437" spans="1:21" x14ac:dyDescent="0.3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  <c r="U1437">
        <f>IF(ChurnData[[#This Row],[churn]]="yes",1,0)</f>
        <v>1</v>
      </c>
    </row>
    <row r="1438" spans="1:21" x14ac:dyDescent="0.3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  <c r="U1438">
        <f>IF(ChurnData[[#This Row],[churn]]="yes",1,0)</f>
        <v>0</v>
      </c>
    </row>
    <row r="1439" spans="1:21" x14ac:dyDescent="0.3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  <c r="U1439">
        <f>IF(ChurnData[[#This Row],[churn]]="yes",1,0)</f>
        <v>0</v>
      </c>
    </row>
    <row r="1440" spans="1:21" x14ac:dyDescent="0.3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  <c r="U1440">
        <f>IF(ChurnData[[#This Row],[churn]]="yes",1,0)</f>
        <v>1</v>
      </c>
    </row>
    <row r="1441" spans="1:21" x14ac:dyDescent="0.3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  <c r="U1441">
        <f>IF(ChurnData[[#This Row],[churn]]="yes",1,0)</f>
        <v>0</v>
      </c>
    </row>
    <row r="1442" spans="1:21" x14ac:dyDescent="0.3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  <c r="U1442">
        <f>IF(ChurnData[[#This Row],[churn]]="yes",1,0)</f>
        <v>0</v>
      </c>
    </row>
    <row r="1443" spans="1:21" x14ac:dyDescent="0.3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  <c r="U1443">
        <f>IF(ChurnData[[#This Row],[churn]]="yes",1,0)</f>
        <v>0</v>
      </c>
    </row>
    <row r="1444" spans="1:21" x14ac:dyDescent="0.3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  <c r="U1444">
        <f>IF(ChurnData[[#This Row],[churn]]="yes",1,0)</f>
        <v>0</v>
      </c>
    </row>
    <row r="1445" spans="1:21" x14ac:dyDescent="0.3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  <c r="U1445">
        <f>IF(ChurnData[[#This Row],[churn]]="yes",1,0)</f>
        <v>1</v>
      </c>
    </row>
    <row r="1446" spans="1:21" x14ac:dyDescent="0.3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  <c r="U1446">
        <f>IF(ChurnData[[#This Row],[churn]]="yes",1,0)</f>
        <v>0</v>
      </c>
    </row>
    <row r="1447" spans="1:21" x14ac:dyDescent="0.3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  <c r="U1447">
        <f>IF(ChurnData[[#This Row],[churn]]="yes",1,0)</f>
        <v>0</v>
      </c>
    </row>
    <row r="1448" spans="1:21" x14ac:dyDescent="0.3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  <c r="U1448">
        <f>IF(ChurnData[[#This Row],[churn]]="yes",1,0)</f>
        <v>0</v>
      </c>
    </row>
    <row r="1449" spans="1:21" x14ac:dyDescent="0.3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  <c r="U1449">
        <f>IF(ChurnData[[#This Row],[churn]]="yes",1,0)</f>
        <v>1</v>
      </c>
    </row>
    <row r="1450" spans="1:21" x14ac:dyDescent="0.3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  <c r="U1450">
        <f>IF(ChurnData[[#This Row],[churn]]="yes",1,0)</f>
        <v>0</v>
      </c>
    </row>
    <row r="1451" spans="1:21" x14ac:dyDescent="0.3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  <c r="U1451">
        <f>IF(ChurnData[[#This Row],[churn]]="yes",1,0)</f>
        <v>0</v>
      </c>
    </row>
    <row r="1452" spans="1:21" x14ac:dyDescent="0.3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  <c r="U1452">
        <f>IF(ChurnData[[#This Row],[churn]]="yes",1,0)</f>
        <v>0</v>
      </c>
    </row>
    <row r="1453" spans="1:21" x14ac:dyDescent="0.3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  <c r="U1453">
        <f>IF(ChurnData[[#This Row],[churn]]="yes",1,0)</f>
        <v>0</v>
      </c>
    </row>
    <row r="1454" spans="1:21" x14ac:dyDescent="0.3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  <c r="U1454">
        <f>IF(ChurnData[[#This Row],[churn]]="yes",1,0)</f>
        <v>0</v>
      </c>
    </row>
    <row r="1455" spans="1:21" x14ac:dyDescent="0.3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  <c r="U1455">
        <f>IF(ChurnData[[#This Row],[churn]]="yes",1,0)</f>
        <v>0</v>
      </c>
    </row>
    <row r="1456" spans="1:21" x14ac:dyDescent="0.3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  <c r="U1456">
        <f>IF(ChurnData[[#This Row],[churn]]="yes",1,0)</f>
        <v>0</v>
      </c>
    </row>
    <row r="1457" spans="1:21" x14ac:dyDescent="0.3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  <c r="U1457">
        <f>IF(ChurnData[[#This Row],[churn]]="yes",1,0)</f>
        <v>0</v>
      </c>
    </row>
    <row r="1458" spans="1:21" x14ac:dyDescent="0.3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  <c r="U1458">
        <f>IF(ChurnData[[#This Row],[churn]]="yes",1,0)</f>
        <v>0</v>
      </c>
    </row>
    <row r="1459" spans="1:21" x14ac:dyDescent="0.3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  <c r="U1459">
        <f>IF(ChurnData[[#This Row],[churn]]="yes",1,0)</f>
        <v>0</v>
      </c>
    </row>
    <row r="1460" spans="1:21" x14ac:dyDescent="0.3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  <c r="U1460">
        <f>IF(ChurnData[[#This Row],[churn]]="yes",1,0)</f>
        <v>0</v>
      </c>
    </row>
    <row r="1461" spans="1:21" x14ac:dyDescent="0.3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  <c r="U1461">
        <f>IF(ChurnData[[#This Row],[churn]]="yes",1,0)</f>
        <v>0</v>
      </c>
    </row>
    <row r="1462" spans="1:21" x14ac:dyDescent="0.3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  <c r="U1462">
        <f>IF(ChurnData[[#This Row],[churn]]="yes",1,0)</f>
        <v>1</v>
      </c>
    </row>
    <row r="1463" spans="1:21" x14ac:dyDescent="0.3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  <c r="U1463">
        <f>IF(ChurnData[[#This Row],[churn]]="yes",1,0)</f>
        <v>0</v>
      </c>
    </row>
    <row r="1464" spans="1:21" x14ac:dyDescent="0.3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  <c r="U1464">
        <f>IF(ChurnData[[#This Row],[churn]]="yes",1,0)</f>
        <v>0</v>
      </c>
    </row>
    <row r="1465" spans="1:21" x14ac:dyDescent="0.3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  <c r="U1465">
        <f>IF(ChurnData[[#This Row],[churn]]="yes",1,0)</f>
        <v>1</v>
      </c>
    </row>
    <row r="1466" spans="1:21" x14ac:dyDescent="0.3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  <c r="U1466">
        <f>IF(ChurnData[[#This Row],[churn]]="yes",1,0)</f>
        <v>0</v>
      </c>
    </row>
    <row r="1467" spans="1:21" x14ac:dyDescent="0.3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  <c r="U1467">
        <f>IF(ChurnData[[#This Row],[churn]]="yes",1,0)</f>
        <v>0</v>
      </c>
    </row>
    <row r="1468" spans="1:21" x14ac:dyDescent="0.3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  <c r="U1468">
        <f>IF(ChurnData[[#This Row],[churn]]="yes",1,0)</f>
        <v>0</v>
      </c>
    </row>
    <row r="1469" spans="1:21" x14ac:dyDescent="0.3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  <c r="U1469">
        <f>IF(ChurnData[[#This Row],[churn]]="yes",1,0)</f>
        <v>0</v>
      </c>
    </row>
    <row r="1470" spans="1:21" x14ac:dyDescent="0.3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  <c r="U1470">
        <f>IF(ChurnData[[#This Row],[churn]]="yes",1,0)</f>
        <v>0</v>
      </c>
    </row>
    <row r="1471" spans="1:21" x14ac:dyDescent="0.3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  <c r="U1471">
        <f>IF(ChurnData[[#This Row],[churn]]="yes",1,0)</f>
        <v>0</v>
      </c>
    </row>
    <row r="1472" spans="1:21" x14ac:dyDescent="0.3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  <c r="U1472">
        <f>IF(ChurnData[[#This Row],[churn]]="yes",1,0)</f>
        <v>0</v>
      </c>
    </row>
    <row r="1473" spans="1:21" x14ac:dyDescent="0.3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  <c r="U1473">
        <f>IF(ChurnData[[#This Row],[churn]]="yes",1,0)</f>
        <v>1</v>
      </c>
    </row>
    <row r="1474" spans="1:21" x14ac:dyDescent="0.3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  <c r="U1474">
        <f>IF(ChurnData[[#This Row],[churn]]="yes",1,0)</f>
        <v>0</v>
      </c>
    </row>
    <row r="1475" spans="1:21" x14ac:dyDescent="0.3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  <c r="U1475">
        <f>IF(ChurnData[[#This Row],[churn]]="yes",1,0)</f>
        <v>1</v>
      </c>
    </row>
    <row r="1476" spans="1:21" x14ac:dyDescent="0.3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  <c r="U1476">
        <f>IF(ChurnData[[#This Row],[churn]]="yes",1,0)</f>
        <v>0</v>
      </c>
    </row>
    <row r="1477" spans="1:21" x14ac:dyDescent="0.3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  <c r="U1477">
        <f>IF(ChurnData[[#This Row],[churn]]="yes",1,0)</f>
        <v>1</v>
      </c>
    </row>
    <row r="1478" spans="1:21" x14ac:dyDescent="0.3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  <c r="U1478">
        <f>IF(ChurnData[[#This Row],[churn]]="yes",1,0)</f>
        <v>0</v>
      </c>
    </row>
    <row r="1479" spans="1:21" x14ac:dyDescent="0.3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  <c r="U1479">
        <f>IF(ChurnData[[#This Row],[churn]]="yes",1,0)</f>
        <v>0</v>
      </c>
    </row>
    <row r="1480" spans="1:21" x14ac:dyDescent="0.3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  <c r="U1480">
        <f>IF(ChurnData[[#This Row],[churn]]="yes",1,0)</f>
        <v>0</v>
      </c>
    </row>
    <row r="1481" spans="1:21" x14ac:dyDescent="0.3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  <c r="U1481">
        <f>IF(ChurnData[[#This Row],[churn]]="yes",1,0)</f>
        <v>0</v>
      </c>
    </row>
    <row r="1482" spans="1:21" x14ac:dyDescent="0.3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  <c r="U1482">
        <f>IF(ChurnData[[#This Row],[churn]]="yes",1,0)</f>
        <v>0</v>
      </c>
    </row>
    <row r="1483" spans="1:21" x14ac:dyDescent="0.3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  <c r="U1483">
        <f>IF(ChurnData[[#This Row],[churn]]="yes",1,0)</f>
        <v>0</v>
      </c>
    </row>
    <row r="1484" spans="1:21" x14ac:dyDescent="0.3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  <c r="U1484">
        <f>IF(ChurnData[[#This Row],[churn]]="yes",1,0)</f>
        <v>0</v>
      </c>
    </row>
    <row r="1485" spans="1:21" x14ac:dyDescent="0.3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  <c r="U1485">
        <f>IF(ChurnData[[#This Row],[churn]]="yes",1,0)</f>
        <v>0</v>
      </c>
    </row>
    <row r="1486" spans="1:21" x14ac:dyDescent="0.3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  <c r="U1486">
        <f>IF(ChurnData[[#This Row],[churn]]="yes",1,0)</f>
        <v>1</v>
      </c>
    </row>
    <row r="1487" spans="1:21" x14ac:dyDescent="0.3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  <c r="U1487">
        <f>IF(ChurnData[[#This Row],[churn]]="yes",1,0)</f>
        <v>1</v>
      </c>
    </row>
    <row r="1488" spans="1:21" x14ac:dyDescent="0.3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  <c r="U1488">
        <f>IF(ChurnData[[#This Row],[churn]]="yes",1,0)</f>
        <v>0</v>
      </c>
    </row>
    <row r="1489" spans="1:21" x14ac:dyDescent="0.3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  <c r="U1489">
        <f>IF(ChurnData[[#This Row],[churn]]="yes",1,0)</f>
        <v>0</v>
      </c>
    </row>
    <row r="1490" spans="1:21" x14ac:dyDescent="0.3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  <c r="U1490">
        <f>IF(ChurnData[[#This Row],[churn]]="yes",1,0)</f>
        <v>1</v>
      </c>
    </row>
    <row r="1491" spans="1:21" x14ac:dyDescent="0.3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  <c r="U1491">
        <f>IF(ChurnData[[#This Row],[churn]]="yes",1,0)</f>
        <v>0</v>
      </c>
    </row>
    <row r="1492" spans="1:21" x14ac:dyDescent="0.3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  <c r="U1492">
        <f>IF(ChurnData[[#This Row],[churn]]="yes",1,0)</f>
        <v>0</v>
      </c>
    </row>
    <row r="1493" spans="1:21" x14ac:dyDescent="0.3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  <c r="U1493">
        <f>IF(ChurnData[[#This Row],[churn]]="yes",1,0)</f>
        <v>0</v>
      </c>
    </row>
    <row r="1494" spans="1:21" x14ac:dyDescent="0.3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  <c r="U1494">
        <f>IF(ChurnData[[#This Row],[churn]]="yes",1,0)</f>
        <v>0</v>
      </c>
    </row>
    <row r="1495" spans="1:21" x14ac:dyDescent="0.3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  <c r="U1495">
        <f>IF(ChurnData[[#This Row],[churn]]="yes",1,0)</f>
        <v>0</v>
      </c>
    </row>
    <row r="1496" spans="1:21" x14ac:dyDescent="0.3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  <c r="U1496">
        <f>IF(ChurnData[[#This Row],[churn]]="yes",1,0)</f>
        <v>1</v>
      </c>
    </row>
    <row r="1497" spans="1:21" x14ac:dyDescent="0.3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  <c r="U1497">
        <f>IF(ChurnData[[#This Row],[churn]]="yes",1,0)</f>
        <v>0</v>
      </c>
    </row>
    <row r="1498" spans="1:21" x14ac:dyDescent="0.3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  <c r="U1498">
        <f>IF(ChurnData[[#This Row],[churn]]="yes",1,0)</f>
        <v>0</v>
      </c>
    </row>
    <row r="1499" spans="1:21" x14ac:dyDescent="0.3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  <c r="U1499">
        <f>IF(ChurnData[[#This Row],[churn]]="yes",1,0)</f>
        <v>0</v>
      </c>
    </row>
    <row r="1500" spans="1:21" x14ac:dyDescent="0.3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  <c r="U1500">
        <f>IF(ChurnData[[#This Row],[churn]]="yes",1,0)</f>
        <v>0</v>
      </c>
    </row>
    <row r="1501" spans="1:21" x14ac:dyDescent="0.3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  <c r="U1501">
        <f>IF(ChurnData[[#This Row],[churn]]="yes",1,0)</f>
        <v>0</v>
      </c>
    </row>
    <row r="1502" spans="1:21" x14ac:dyDescent="0.3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  <c r="U1502">
        <f>IF(ChurnData[[#This Row],[churn]]="yes",1,0)</f>
        <v>0</v>
      </c>
    </row>
    <row r="1503" spans="1:21" x14ac:dyDescent="0.3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  <c r="U1503">
        <f>IF(ChurnData[[#This Row],[churn]]="yes",1,0)</f>
        <v>1</v>
      </c>
    </row>
    <row r="1504" spans="1:21" x14ac:dyDescent="0.3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  <c r="U1504">
        <f>IF(ChurnData[[#This Row],[churn]]="yes",1,0)</f>
        <v>0</v>
      </c>
    </row>
    <row r="1505" spans="1:21" x14ac:dyDescent="0.3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  <c r="U1505">
        <f>IF(ChurnData[[#This Row],[churn]]="yes",1,0)</f>
        <v>0</v>
      </c>
    </row>
    <row r="1506" spans="1:21" x14ac:dyDescent="0.3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  <c r="U1506">
        <f>IF(ChurnData[[#This Row],[churn]]="yes",1,0)</f>
        <v>0</v>
      </c>
    </row>
    <row r="1507" spans="1:21" x14ac:dyDescent="0.3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  <c r="U1507">
        <f>IF(ChurnData[[#This Row],[churn]]="yes",1,0)</f>
        <v>0</v>
      </c>
    </row>
    <row r="1508" spans="1:21" x14ac:dyDescent="0.3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  <c r="U1508">
        <f>IF(ChurnData[[#This Row],[churn]]="yes",1,0)</f>
        <v>0</v>
      </c>
    </row>
    <row r="1509" spans="1:21" x14ac:dyDescent="0.3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  <c r="U1509">
        <f>IF(ChurnData[[#This Row],[churn]]="yes",1,0)</f>
        <v>0</v>
      </c>
    </row>
    <row r="1510" spans="1:21" x14ac:dyDescent="0.3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  <c r="U1510">
        <f>IF(ChurnData[[#This Row],[churn]]="yes",1,0)</f>
        <v>0</v>
      </c>
    </row>
    <row r="1511" spans="1:21" x14ac:dyDescent="0.3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  <c r="U1511">
        <f>IF(ChurnData[[#This Row],[churn]]="yes",1,0)</f>
        <v>0</v>
      </c>
    </row>
    <row r="1512" spans="1:21" x14ac:dyDescent="0.3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  <c r="U1512">
        <f>IF(ChurnData[[#This Row],[churn]]="yes",1,0)</f>
        <v>0</v>
      </c>
    </row>
    <row r="1513" spans="1:21" x14ac:dyDescent="0.3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  <c r="U1513">
        <f>IF(ChurnData[[#This Row],[churn]]="yes",1,0)</f>
        <v>1</v>
      </c>
    </row>
    <row r="1514" spans="1:21" x14ac:dyDescent="0.3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  <c r="U1514">
        <f>IF(ChurnData[[#This Row],[churn]]="yes",1,0)</f>
        <v>0</v>
      </c>
    </row>
    <row r="1515" spans="1:21" x14ac:dyDescent="0.3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  <c r="U1515">
        <f>IF(ChurnData[[#This Row],[churn]]="yes",1,0)</f>
        <v>0</v>
      </c>
    </row>
    <row r="1516" spans="1:21" x14ac:dyDescent="0.3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  <c r="U1516">
        <f>IF(ChurnData[[#This Row],[churn]]="yes",1,0)</f>
        <v>0</v>
      </c>
    </row>
    <row r="1517" spans="1:21" x14ac:dyDescent="0.3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  <c r="U1517">
        <f>IF(ChurnData[[#This Row],[churn]]="yes",1,0)</f>
        <v>0</v>
      </c>
    </row>
    <row r="1518" spans="1:21" x14ac:dyDescent="0.3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  <c r="U1518">
        <f>IF(ChurnData[[#This Row],[churn]]="yes",1,0)</f>
        <v>0</v>
      </c>
    </row>
    <row r="1519" spans="1:21" x14ac:dyDescent="0.3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  <c r="U1519">
        <f>IF(ChurnData[[#This Row],[churn]]="yes",1,0)</f>
        <v>0</v>
      </c>
    </row>
    <row r="1520" spans="1:21" x14ac:dyDescent="0.3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  <c r="U1520">
        <f>IF(ChurnData[[#This Row],[churn]]="yes",1,0)</f>
        <v>1</v>
      </c>
    </row>
    <row r="1521" spans="1:21" x14ac:dyDescent="0.3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  <c r="U1521">
        <f>IF(ChurnData[[#This Row],[churn]]="yes",1,0)</f>
        <v>0</v>
      </c>
    </row>
    <row r="1522" spans="1:21" x14ac:dyDescent="0.3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  <c r="U1522">
        <f>IF(ChurnData[[#This Row],[churn]]="yes",1,0)</f>
        <v>0</v>
      </c>
    </row>
    <row r="1523" spans="1:21" x14ac:dyDescent="0.3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  <c r="U1523">
        <f>IF(ChurnData[[#This Row],[churn]]="yes",1,0)</f>
        <v>0</v>
      </c>
    </row>
    <row r="1524" spans="1:21" x14ac:dyDescent="0.3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  <c r="U1524">
        <f>IF(ChurnData[[#This Row],[churn]]="yes",1,0)</f>
        <v>0</v>
      </c>
    </row>
    <row r="1525" spans="1:21" x14ac:dyDescent="0.3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  <c r="U1525">
        <f>IF(ChurnData[[#This Row],[churn]]="yes",1,0)</f>
        <v>0</v>
      </c>
    </row>
    <row r="1526" spans="1:21" x14ac:dyDescent="0.3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  <c r="U1526">
        <f>IF(ChurnData[[#This Row],[churn]]="yes",1,0)</f>
        <v>0</v>
      </c>
    </row>
    <row r="1527" spans="1:21" x14ac:dyDescent="0.3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  <c r="U1527">
        <f>IF(ChurnData[[#This Row],[churn]]="yes",1,0)</f>
        <v>0</v>
      </c>
    </row>
    <row r="1528" spans="1:21" x14ac:dyDescent="0.3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  <c r="U1528">
        <f>IF(ChurnData[[#This Row],[churn]]="yes",1,0)</f>
        <v>0</v>
      </c>
    </row>
    <row r="1529" spans="1:21" x14ac:dyDescent="0.3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  <c r="U1529">
        <f>IF(ChurnData[[#This Row],[churn]]="yes",1,0)</f>
        <v>0</v>
      </c>
    </row>
    <row r="1530" spans="1:21" x14ac:dyDescent="0.3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  <c r="U1530">
        <f>IF(ChurnData[[#This Row],[churn]]="yes",1,0)</f>
        <v>0</v>
      </c>
    </row>
    <row r="1531" spans="1:21" x14ac:dyDescent="0.3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  <c r="U1531">
        <f>IF(ChurnData[[#This Row],[churn]]="yes",1,0)</f>
        <v>0</v>
      </c>
    </row>
    <row r="1532" spans="1:21" x14ac:dyDescent="0.3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  <c r="U1532">
        <f>IF(ChurnData[[#This Row],[churn]]="yes",1,0)</f>
        <v>0</v>
      </c>
    </row>
    <row r="1533" spans="1:21" x14ac:dyDescent="0.3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  <c r="U1533">
        <f>IF(ChurnData[[#This Row],[churn]]="yes",1,0)</f>
        <v>0</v>
      </c>
    </row>
    <row r="1534" spans="1:21" x14ac:dyDescent="0.3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  <c r="U1534">
        <f>IF(ChurnData[[#This Row],[churn]]="yes",1,0)</f>
        <v>0</v>
      </c>
    </row>
    <row r="1535" spans="1:21" x14ac:dyDescent="0.3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  <c r="U1535">
        <f>IF(ChurnData[[#This Row],[churn]]="yes",1,0)</f>
        <v>0</v>
      </c>
    </row>
    <row r="1536" spans="1:21" x14ac:dyDescent="0.3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  <c r="U1536">
        <f>IF(ChurnData[[#This Row],[churn]]="yes",1,0)</f>
        <v>0</v>
      </c>
    </row>
    <row r="1537" spans="1:21" x14ac:dyDescent="0.3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  <c r="U1537">
        <f>IF(ChurnData[[#This Row],[churn]]="yes",1,0)</f>
        <v>0</v>
      </c>
    </row>
    <row r="1538" spans="1:21" x14ac:dyDescent="0.3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  <c r="U1538">
        <f>IF(ChurnData[[#This Row],[churn]]="yes",1,0)</f>
        <v>0</v>
      </c>
    </row>
    <row r="1539" spans="1:21" x14ac:dyDescent="0.3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  <c r="U1539">
        <f>IF(ChurnData[[#This Row],[churn]]="yes",1,0)</f>
        <v>0</v>
      </c>
    </row>
    <row r="1540" spans="1:21" x14ac:dyDescent="0.3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  <c r="U1540">
        <f>IF(ChurnData[[#This Row],[churn]]="yes",1,0)</f>
        <v>0</v>
      </c>
    </row>
    <row r="1541" spans="1:21" x14ac:dyDescent="0.3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  <c r="U1541">
        <f>IF(ChurnData[[#This Row],[churn]]="yes",1,0)</f>
        <v>0</v>
      </c>
    </row>
    <row r="1542" spans="1:21" x14ac:dyDescent="0.3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  <c r="U1542">
        <f>IF(ChurnData[[#This Row],[churn]]="yes",1,0)</f>
        <v>0</v>
      </c>
    </row>
    <row r="1543" spans="1:21" x14ac:dyDescent="0.3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  <c r="U1543">
        <f>IF(ChurnData[[#This Row],[churn]]="yes",1,0)</f>
        <v>0</v>
      </c>
    </row>
    <row r="1544" spans="1:21" x14ac:dyDescent="0.3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  <c r="U1544">
        <f>IF(ChurnData[[#This Row],[churn]]="yes",1,0)</f>
        <v>0</v>
      </c>
    </row>
    <row r="1545" spans="1:21" x14ac:dyDescent="0.3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  <c r="U1545">
        <f>IF(ChurnData[[#This Row],[churn]]="yes",1,0)</f>
        <v>0</v>
      </c>
    </row>
    <row r="1546" spans="1:21" x14ac:dyDescent="0.3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  <c r="U1546">
        <f>IF(ChurnData[[#This Row],[churn]]="yes",1,0)</f>
        <v>0</v>
      </c>
    </row>
    <row r="1547" spans="1:21" x14ac:dyDescent="0.3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  <c r="U1547">
        <f>IF(ChurnData[[#This Row],[churn]]="yes",1,0)</f>
        <v>0</v>
      </c>
    </row>
    <row r="1548" spans="1:21" x14ac:dyDescent="0.3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  <c r="U1548">
        <f>IF(ChurnData[[#This Row],[churn]]="yes",1,0)</f>
        <v>0</v>
      </c>
    </row>
    <row r="1549" spans="1:21" x14ac:dyDescent="0.3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  <c r="U1549">
        <f>IF(ChurnData[[#This Row],[churn]]="yes",1,0)</f>
        <v>0</v>
      </c>
    </row>
    <row r="1550" spans="1:21" x14ac:dyDescent="0.3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  <c r="U1550">
        <f>IF(ChurnData[[#This Row],[churn]]="yes",1,0)</f>
        <v>0</v>
      </c>
    </row>
    <row r="1551" spans="1:21" x14ac:dyDescent="0.3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  <c r="U1551">
        <f>IF(ChurnData[[#This Row],[churn]]="yes",1,0)</f>
        <v>1</v>
      </c>
    </row>
    <row r="1552" spans="1:21" x14ac:dyDescent="0.3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  <c r="U1552">
        <f>IF(ChurnData[[#This Row],[churn]]="yes",1,0)</f>
        <v>0</v>
      </c>
    </row>
    <row r="1553" spans="1:21" x14ac:dyDescent="0.3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  <c r="U1553">
        <f>IF(ChurnData[[#This Row],[churn]]="yes",1,0)</f>
        <v>0</v>
      </c>
    </row>
    <row r="1554" spans="1:21" x14ac:dyDescent="0.3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  <c r="U1554">
        <f>IF(ChurnData[[#This Row],[churn]]="yes",1,0)</f>
        <v>0</v>
      </c>
    </row>
    <row r="1555" spans="1:21" x14ac:dyDescent="0.3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  <c r="U1555">
        <f>IF(ChurnData[[#This Row],[churn]]="yes",1,0)</f>
        <v>0</v>
      </c>
    </row>
    <row r="1556" spans="1:21" x14ac:dyDescent="0.3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  <c r="U1556">
        <f>IF(ChurnData[[#This Row],[churn]]="yes",1,0)</f>
        <v>1</v>
      </c>
    </row>
    <row r="1557" spans="1:21" x14ac:dyDescent="0.3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  <c r="U1557">
        <f>IF(ChurnData[[#This Row],[churn]]="yes",1,0)</f>
        <v>0</v>
      </c>
    </row>
    <row r="1558" spans="1:21" x14ac:dyDescent="0.3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  <c r="U1558">
        <f>IF(ChurnData[[#This Row],[churn]]="yes",1,0)</f>
        <v>1</v>
      </c>
    </row>
    <row r="1559" spans="1:21" x14ac:dyDescent="0.3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  <c r="U1559">
        <f>IF(ChurnData[[#This Row],[churn]]="yes",1,0)</f>
        <v>1</v>
      </c>
    </row>
    <row r="1560" spans="1:21" x14ac:dyDescent="0.3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  <c r="U1560">
        <f>IF(ChurnData[[#This Row],[churn]]="yes",1,0)</f>
        <v>0</v>
      </c>
    </row>
    <row r="1561" spans="1:21" x14ac:dyDescent="0.3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  <c r="U1561">
        <f>IF(ChurnData[[#This Row],[churn]]="yes",1,0)</f>
        <v>0</v>
      </c>
    </row>
    <row r="1562" spans="1:21" x14ac:dyDescent="0.3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  <c r="U1562">
        <f>IF(ChurnData[[#This Row],[churn]]="yes",1,0)</f>
        <v>0</v>
      </c>
    </row>
    <row r="1563" spans="1:21" x14ac:dyDescent="0.3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  <c r="U1563">
        <f>IF(ChurnData[[#This Row],[churn]]="yes",1,0)</f>
        <v>1</v>
      </c>
    </row>
    <row r="1564" spans="1:21" x14ac:dyDescent="0.3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  <c r="U1564">
        <f>IF(ChurnData[[#This Row],[churn]]="yes",1,0)</f>
        <v>1</v>
      </c>
    </row>
    <row r="1565" spans="1:21" x14ac:dyDescent="0.3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  <c r="U1565">
        <f>IF(ChurnData[[#This Row],[churn]]="yes",1,0)</f>
        <v>1</v>
      </c>
    </row>
    <row r="1566" spans="1:21" x14ac:dyDescent="0.3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  <c r="U1566">
        <f>IF(ChurnData[[#This Row],[churn]]="yes",1,0)</f>
        <v>0</v>
      </c>
    </row>
    <row r="1567" spans="1:21" x14ac:dyDescent="0.3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  <c r="U1567">
        <f>IF(ChurnData[[#This Row],[churn]]="yes",1,0)</f>
        <v>0</v>
      </c>
    </row>
    <row r="1568" spans="1:21" x14ac:dyDescent="0.3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  <c r="U1568">
        <f>IF(ChurnData[[#This Row],[churn]]="yes",1,0)</f>
        <v>0</v>
      </c>
    </row>
    <row r="1569" spans="1:21" x14ac:dyDescent="0.3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  <c r="U1569">
        <f>IF(ChurnData[[#This Row],[churn]]="yes",1,0)</f>
        <v>0</v>
      </c>
    </row>
    <row r="1570" spans="1:21" x14ac:dyDescent="0.3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  <c r="U1570">
        <f>IF(ChurnData[[#This Row],[churn]]="yes",1,0)</f>
        <v>1</v>
      </c>
    </row>
    <row r="1571" spans="1:21" x14ac:dyDescent="0.3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  <c r="U1571">
        <f>IF(ChurnData[[#This Row],[churn]]="yes",1,0)</f>
        <v>0</v>
      </c>
    </row>
    <row r="1572" spans="1:21" x14ac:dyDescent="0.3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  <c r="U1572">
        <f>IF(ChurnData[[#This Row],[churn]]="yes",1,0)</f>
        <v>0</v>
      </c>
    </row>
    <row r="1573" spans="1:21" x14ac:dyDescent="0.3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  <c r="U1573">
        <f>IF(ChurnData[[#This Row],[churn]]="yes",1,0)</f>
        <v>1</v>
      </c>
    </row>
    <row r="1574" spans="1:21" x14ac:dyDescent="0.3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  <c r="U1574">
        <f>IF(ChurnData[[#This Row],[churn]]="yes",1,0)</f>
        <v>1</v>
      </c>
    </row>
    <row r="1575" spans="1:21" x14ac:dyDescent="0.3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  <c r="U1575">
        <f>IF(ChurnData[[#This Row],[churn]]="yes",1,0)</f>
        <v>0</v>
      </c>
    </row>
    <row r="1576" spans="1:21" x14ac:dyDescent="0.3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  <c r="U1576">
        <f>IF(ChurnData[[#This Row],[churn]]="yes",1,0)</f>
        <v>0</v>
      </c>
    </row>
    <row r="1577" spans="1:21" x14ac:dyDescent="0.3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  <c r="U1577">
        <f>IF(ChurnData[[#This Row],[churn]]="yes",1,0)</f>
        <v>1</v>
      </c>
    </row>
    <row r="1578" spans="1:21" x14ac:dyDescent="0.3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  <c r="U1578">
        <f>IF(ChurnData[[#This Row],[churn]]="yes",1,0)</f>
        <v>1</v>
      </c>
    </row>
    <row r="1579" spans="1:21" x14ac:dyDescent="0.3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  <c r="U1579">
        <f>IF(ChurnData[[#This Row],[churn]]="yes",1,0)</f>
        <v>0</v>
      </c>
    </row>
    <row r="1580" spans="1:21" x14ac:dyDescent="0.3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  <c r="U1580">
        <f>IF(ChurnData[[#This Row],[churn]]="yes",1,0)</f>
        <v>1</v>
      </c>
    </row>
    <row r="1581" spans="1:21" x14ac:dyDescent="0.3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  <c r="U1581">
        <f>IF(ChurnData[[#This Row],[churn]]="yes",1,0)</f>
        <v>0</v>
      </c>
    </row>
    <row r="1582" spans="1:21" x14ac:dyDescent="0.3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  <c r="U1582">
        <f>IF(ChurnData[[#This Row],[churn]]="yes",1,0)</f>
        <v>0</v>
      </c>
    </row>
    <row r="1583" spans="1:21" x14ac:dyDescent="0.3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  <c r="U1583">
        <f>IF(ChurnData[[#This Row],[churn]]="yes",1,0)</f>
        <v>0</v>
      </c>
    </row>
    <row r="1584" spans="1:21" x14ac:dyDescent="0.3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  <c r="U1584">
        <f>IF(ChurnData[[#This Row],[churn]]="yes",1,0)</f>
        <v>0</v>
      </c>
    </row>
    <row r="1585" spans="1:21" x14ac:dyDescent="0.3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  <c r="U1585">
        <f>IF(ChurnData[[#This Row],[churn]]="yes",1,0)</f>
        <v>0</v>
      </c>
    </row>
    <row r="1586" spans="1:21" x14ac:dyDescent="0.3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  <c r="U1586">
        <f>IF(ChurnData[[#This Row],[churn]]="yes",1,0)</f>
        <v>0</v>
      </c>
    </row>
    <row r="1587" spans="1:21" x14ac:dyDescent="0.3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  <c r="U1587">
        <f>IF(ChurnData[[#This Row],[churn]]="yes",1,0)</f>
        <v>0</v>
      </c>
    </row>
    <row r="1588" spans="1:21" x14ac:dyDescent="0.3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  <c r="U1588">
        <f>IF(ChurnData[[#This Row],[churn]]="yes",1,0)</f>
        <v>0</v>
      </c>
    </row>
    <row r="1589" spans="1:21" x14ac:dyDescent="0.3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  <c r="U1589">
        <f>IF(ChurnData[[#This Row],[churn]]="yes",1,0)</f>
        <v>1</v>
      </c>
    </row>
    <row r="1590" spans="1:21" x14ac:dyDescent="0.3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  <c r="U1590">
        <f>IF(ChurnData[[#This Row],[churn]]="yes",1,0)</f>
        <v>1</v>
      </c>
    </row>
    <row r="1591" spans="1:21" x14ac:dyDescent="0.3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  <c r="U1591">
        <f>IF(ChurnData[[#This Row],[churn]]="yes",1,0)</f>
        <v>0</v>
      </c>
    </row>
    <row r="1592" spans="1:21" x14ac:dyDescent="0.3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  <c r="U1592">
        <f>IF(ChurnData[[#This Row],[churn]]="yes",1,0)</f>
        <v>0</v>
      </c>
    </row>
    <row r="1593" spans="1:21" x14ac:dyDescent="0.3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  <c r="U1593">
        <f>IF(ChurnData[[#This Row],[churn]]="yes",1,0)</f>
        <v>0</v>
      </c>
    </row>
    <row r="1594" spans="1:21" x14ac:dyDescent="0.3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  <c r="U1594">
        <f>IF(ChurnData[[#This Row],[churn]]="yes",1,0)</f>
        <v>0</v>
      </c>
    </row>
    <row r="1595" spans="1:21" x14ac:dyDescent="0.3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  <c r="U1595">
        <f>IF(ChurnData[[#This Row],[churn]]="yes",1,0)</f>
        <v>0</v>
      </c>
    </row>
    <row r="1596" spans="1:21" x14ac:dyDescent="0.3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  <c r="U1596">
        <f>IF(ChurnData[[#This Row],[churn]]="yes",1,0)</f>
        <v>1</v>
      </c>
    </row>
    <row r="1597" spans="1:21" x14ac:dyDescent="0.3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  <c r="U1597">
        <f>IF(ChurnData[[#This Row],[churn]]="yes",1,0)</f>
        <v>0</v>
      </c>
    </row>
    <row r="1598" spans="1:21" x14ac:dyDescent="0.3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  <c r="U1598">
        <f>IF(ChurnData[[#This Row],[churn]]="yes",1,0)</f>
        <v>1</v>
      </c>
    </row>
    <row r="1599" spans="1:21" x14ac:dyDescent="0.3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  <c r="U1599">
        <f>IF(ChurnData[[#This Row],[churn]]="yes",1,0)</f>
        <v>0</v>
      </c>
    </row>
    <row r="1600" spans="1:21" x14ac:dyDescent="0.3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  <c r="U1600">
        <f>IF(ChurnData[[#This Row],[churn]]="yes",1,0)</f>
        <v>0</v>
      </c>
    </row>
    <row r="1601" spans="1:21" x14ac:dyDescent="0.3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  <c r="U1601">
        <f>IF(ChurnData[[#This Row],[churn]]="yes",1,0)</f>
        <v>1</v>
      </c>
    </row>
    <row r="1602" spans="1:21" x14ac:dyDescent="0.3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  <c r="U1602">
        <f>IF(ChurnData[[#This Row],[churn]]="yes",1,0)</f>
        <v>1</v>
      </c>
    </row>
    <row r="1603" spans="1:21" x14ac:dyDescent="0.3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  <c r="U1603">
        <f>IF(ChurnData[[#This Row],[churn]]="yes",1,0)</f>
        <v>0</v>
      </c>
    </row>
    <row r="1604" spans="1:21" x14ac:dyDescent="0.3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  <c r="U1604">
        <f>IF(ChurnData[[#This Row],[churn]]="yes",1,0)</f>
        <v>0</v>
      </c>
    </row>
    <row r="1605" spans="1:21" x14ac:dyDescent="0.3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  <c r="U1605">
        <f>IF(ChurnData[[#This Row],[churn]]="yes",1,0)</f>
        <v>0</v>
      </c>
    </row>
    <row r="1606" spans="1:21" x14ac:dyDescent="0.3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  <c r="U1606">
        <f>IF(ChurnData[[#This Row],[churn]]="yes",1,0)</f>
        <v>0</v>
      </c>
    </row>
    <row r="1607" spans="1:21" x14ac:dyDescent="0.3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  <c r="U1607">
        <f>IF(ChurnData[[#This Row],[churn]]="yes",1,0)</f>
        <v>1</v>
      </c>
    </row>
    <row r="1608" spans="1:21" x14ac:dyDescent="0.3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  <c r="U1608">
        <f>IF(ChurnData[[#This Row],[churn]]="yes",1,0)</f>
        <v>0</v>
      </c>
    </row>
    <row r="1609" spans="1:21" x14ac:dyDescent="0.3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  <c r="U1609">
        <f>IF(ChurnData[[#This Row],[churn]]="yes",1,0)</f>
        <v>0</v>
      </c>
    </row>
    <row r="1610" spans="1:21" x14ac:dyDescent="0.3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  <c r="U1610">
        <f>IF(ChurnData[[#This Row],[churn]]="yes",1,0)</f>
        <v>0</v>
      </c>
    </row>
    <row r="1611" spans="1:21" x14ac:dyDescent="0.3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  <c r="U1611">
        <f>IF(ChurnData[[#This Row],[churn]]="yes",1,0)</f>
        <v>0</v>
      </c>
    </row>
    <row r="1612" spans="1:21" x14ac:dyDescent="0.3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  <c r="U1612">
        <f>IF(ChurnData[[#This Row],[churn]]="yes",1,0)</f>
        <v>1</v>
      </c>
    </row>
    <row r="1613" spans="1:21" x14ac:dyDescent="0.3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  <c r="U1613">
        <f>IF(ChurnData[[#This Row],[churn]]="yes",1,0)</f>
        <v>1</v>
      </c>
    </row>
    <row r="1614" spans="1:21" x14ac:dyDescent="0.3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  <c r="U1614">
        <f>IF(ChurnData[[#This Row],[churn]]="yes",1,0)</f>
        <v>0</v>
      </c>
    </row>
    <row r="1615" spans="1:21" x14ac:dyDescent="0.3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  <c r="U1615">
        <f>IF(ChurnData[[#This Row],[churn]]="yes",1,0)</f>
        <v>0</v>
      </c>
    </row>
    <row r="1616" spans="1:21" x14ac:dyDescent="0.3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  <c r="U1616">
        <f>IF(ChurnData[[#This Row],[churn]]="yes",1,0)</f>
        <v>0</v>
      </c>
    </row>
    <row r="1617" spans="1:21" x14ac:dyDescent="0.3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  <c r="U1617">
        <f>IF(ChurnData[[#This Row],[churn]]="yes",1,0)</f>
        <v>0</v>
      </c>
    </row>
    <row r="1618" spans="1:21" x14ac:dyDescent="0.3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  <c r="U1618">
        <f>IF(ChurnData[[#This Row],[churn]]="yes",1,0)</f>
        <v>0</v>
      </c>
    </row>
    <row r="1619" spans="1:21" x14ac:dyDescent="0.3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  <c r="U1619">
        <f>IF(ChurnData[[#This Row],[churn]]="yes",1,0)</f>
        <v>0</v>
      </c>
    </row>
    <row r="1620" spans="1:21" x14ac:dyDescent="0.3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  <c r="U1620">
        <f>IF(ChurnData[[#This Row],[churn]]="yes",1,0)</f>
        <v>0</v>
      </c>
    </row>
    <row r="1621" spans="1:21" x14ac:dyDescent="0.3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  <c r="U1621">
        <f>IF(ChurnData[[#This Row],[churn]]="yes",1,0)</f>
        <v>1</v>
      </c>
    </row>
    <row r="1622" spans="1:21" x14ac:dyDescent="0.3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  <c r="U1622">
        <f>IF(ChurnData[[#This Row],[churn]]="yes",1,0)</f>
        <v>0</v>
      </c>
    </row>
    <row r="1623" spans="1:21" x14ac:dyDescent="0.3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  <c r="U1623">
        <f>IF(ChurnData[[#This Row],[churn]]="yes",1,0)</f>
        <v>0</v>
      </c>
    </row>
    <row r="1624" spans="1:21" x14ac:dyDescent="0.3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  <c r="U1624">
        <f>IF(ChurnData[[#This Row],[churn]]="yes",1,0)</f>
        <v>0</v>
      </c>
    </row>
    <row r="1625" spans="1:21" x14ac:dyDescent="0.3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  <c r="U1625">
        <f>IF(ChurnData[[#This Row],[churn]]="yes",1,0)</f>
        <v>0</v>
      </c>
    </row>
    <row r="1626" spans="1:21" x14ac:dyDescent="0.3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  <c r="U1626">
        <f>IF(ChurnData[[#This Row],[churn]]="yes",1,0)</f>
        <v>0</v>
      </c>
    </row>
    <row r="1627" spans="1:21" x14ac:dyDescent="0.3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  <c r="U1627">
        <f>IF(ChurnData[[#This Row],[churn]]="yes",1,0)</f>
        <v>1</v>
      </c>
    </row>
    <row r="1628" spans="1:21" x14ac:dyDescent="0.3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  <c r="U1628">
        <f>IF(ChurnData[[#This Row],[churn]]="yes",1,0)</f>
        <v>0</v>
      </c>
    </row>
    <row r="1629" spans="1:21" x14ac:dyDescent="0.3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  <c r="U1629">
        <f>IF(ChurnData[[#This Row],[churn]]="yes",1,0)</f>
        <v>0</v>
      </c>
    </row>
    <row r="1630" spans="1:21" x14ac:dyDescent="0.3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  <c r="U1630">
        <f>IF(ChurnData[[#This Row],[churn]]="yes",1,0)</f>
        <v>0</v>
      </c>
    </row>
    <row r="1631" spans="1:21" x14ac:dyDescent="0.3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  <c r="U1631">
        <f>IF(ChurnData[[#This Row],[churn]]="yes",1,0)</f>
        <v>0</v>
      </c>
    </row>
    <row r="1632" spans="1:21" x14ac:dyDescent="0.3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  <c r="U1632">
        <f>IF(ChurnData[[#This Row],[churn]]="yes",1,0)</f>
        <v>0</v>
      </c>
    </row>
    <row r="1633" spans="1:21" x14ac:dyDescent="0.3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  <c r="U1633">
        <f>IF(ChurnData[[#This Row],[churn]]="yes",1,0)</f>
        <v>0</v>
      </c>
    </row>
    <row r="1634" spans="1:21" x14ac:dyDescent="0.3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  <c r="U1634">
        <f>IF(ChurnData[[#This Row],[churn]]="yes",1,0)</f>
        <v>0</v>
      </c>
    </row>
    <row r="1635" spans="1:21" x14ac:dyDescent="0.3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  <c r="U1635">
        <f>IF(ChurnData[[#This Row],[churn]]="yes",1,0)</f>
        <v>0</v>
      </c>
    </row>
    <row r="1636" spans="1:21" x14ac:dyDescent="0.3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  <c r="U1636">
        <f>IF(ChurnData[[#This Row],[churn]]="yes",1,0)</f>
        <v>0</v>
      </c>
    </row>
    <row r="1637" spans="1:21" x14ac:dyDescent="0.3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  <c r="U1637">
        <f>IF(ChurnData[[#This Row],[churn]]="yes",1,0)</f>
        <v>0</v>
      </c>
    </row>
    <row r="1638" spans="1:21" x14ac:dyDescent="0.3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  <c r="U1638">
        <f>IF(ChurnData[[#This Row],[churn]]="yes",1,0)</f>
        <v>1</v>
      </c>
    </row>
    <row r="1639" spans="1:21" x14ac:dyDescent="0.3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  <c r="U1639">
        <f>IF(ChurnData[[#This Row],[churn]]="yes",1,0)</f>
        <v>1</v>
      </c>
    </row>
    <row r="1640" spans="1:21" x14ac:dyDescent="0.3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  <c r="U1640">
        <f>IF(ChurnData[[#This Row],[churn]]="yes",1,0)</f>
        <v>1</v>
      </c>
    </row>
    <row r="1641" spans="1:21" x14ac:dyDescent="0.3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  <c r="U1641">
        <f>IF(ChurnData[[#This Row],[churn]]="yes",1,0)</f>
        <v>0</v>
      </c>
    </row>
    <row r="1642" spans="1:21" x14ac:dyDescent="0.3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  <c r="U1642">
        <f>IF(ChurnData[[#This Row],[churn]]="yes",1,0)</f>
        <v>0</v>
      </c>
    </row>
    <row r="1643" spans="1:21" x14ac:dyDescent="0.3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  <c r="U1643">
        <f>IF(ChurnData[[#This Row],[churn]]="yes",1,0)</f>
        <v>0</v>
      </c>
    </row>
    <row r="1644" spans="1:21" x14ac:dyDescent="0.3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  <c r="U1644">
        <f>IF(ChurnData[[#This Row],[churn]]="yes",1,0)</f>
        <v>1</v>
      </c>
    </row>
    <row r="1645" spans="1:21" x14ac:dyDescent="0.3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  <c r="U1645">
        <f>IF(ChurnData[[#This Row],[churn]]="yes",1,0)</f>
        <v>0</v>
      </c>
    </row>
    <row r="1646" spans="1:21" x14ac:dyDescent="0.3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  <c r="U1646">
        <f>IF(ChurnData[[#This Row],[churn]]="yes",1,0)</f>
        <v>0</v>
      </c>
    </row>
    <row r="1647" spans="1:21" x14ac:dyDescent="0.3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  <c r="U1647">
        <f>IF(ChurnData[[#This Row],[churn]]="yes",1,0)</f>
        <v>0</v>
      </c>
    </row>
    <row r="1648" spans="1:21" x14ac:dyDescent="0.3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  <c r="U1648">
        <f>IF(ChurnData[[#This Row],[churn]]="yes",1,0)</f>
        <v>0</v>
      </c>
    </row>
    <row r="1649" spans="1:21" x14ac:dyDescent="0.3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  <c r="U1649">
        <f>IF(ChurnData[[#This Row],[churn]]="yes",1,0)</f>
        <v>0</v>
      </c>
    </row>
    <row r="1650" spans="1:21" x14ac:dyDescent="0.3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  <c r="U1650">
        <f>IF(ChurnData[[#This Row],[churn]]="yes",1,0)</f>
        <v>0</v>
      </c>
    </row>
    <row r="1651" spans="1:21" x14ac:dyDescent="0.3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  <c r="U1651">
        <f>IF(ChurnData[[#This Row],[churn]]="yes",1,0)</f>
        <v>0</v>
      </c>
    </row>
    <row r="1652" spans="1:21" x14ac:dyDescent="0.3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  <c r="U1652">
        <f>IF(ChurnData[[#This Row],[churn]]="yes",1,0)</f>
        <v>0</v>
      </c>
    </row>
    <row r="1653" spans="1:21" x14ac:dyDescent="0.3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  <c r="U1653">
        <f>IF(ChurnData[[#This Row],[churn]]="yes",1,0)</f>
        <v>0</v>
      </c>
    </row>
    <row r="1654" spans="1:21" x14ac:dyDescent="0.3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  <c r="U1654">
        <f>IF(ChurnData[[#This Row],[churn]]="yes",1,0)</f>
        <v>1</v>
      </c>
    </row>
    <row r="1655" spans="1:21" x14ac:dyDescent="0.3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  <c r="U1655">
        <f>IF(ChurnData[[#This Row],[churn]]="yes",1,0)</f>
        <v>0</v>
      </c>
    </row>
    <row r="1656" spans="1:21" x14ac:dyDescent="0.3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  <c r="U1656">
        <f>IF(ChurnData[[#This Row],[churn]]="yes",1,0)</f>
        <v>0</v>
      </c>
    </row>
    <row r="1657" spans="1:21" x14ac:dyDescent="0.3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  <c r="U1657">
        <f>IF(ChurnData[[#This Row],[churn]]="yes",1,0)</f>
        <v>1</v>
      </c>
    </row>
    <row r="1658" spans="1:21" x14ac:dyDescent="0.3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  <c r="U1658">
        <f>IF(ChurnData[[#This Row],[churn]]="yes",1,0)</f>
        <v>0</v>
      </c>
    </row>
    <row r="1659" spans="1:21" x14ac:dyDescent="0.3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  <c r="U1659">
        <f>IF(ChurnData[[#This Row],[churn]]="yes",1,0)</f>
        <v>0</v>
      </c>
    </row>
    <row r="1660" spans="1:21" x14ac:dyDescent="0.3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  <c r="U1660">
        <f>IF(ChurnData[[#This Row],[churn]]="yes",1,0)</f>
        <v>0</v>
      </c>
    </row>
    <row r="1661" spans="1:21" x14ac:dyDescent="0.3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  <c r="U1661">
        <f>IF(ChurnData[[#This Row],[churn]]="yes",1,0)</f>
        <v>0</v>
      </c>
    </row>
    <row r="1662" spans="1:21" x14ac:dyDescent="0.3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  <c r="U1662">
        <f>IF(ChurnData[[#This Row],[churn]]="yes",1,0)</f>
        <v>0</v>
      </c>
    </row>
    <row r="1663" spans="1:21" x14ac:dyDescent="0.3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  <c r="U1663">
        <f>IF(ChurnData[[#This Row],[churn]]="yes",1,0)</f>
        <v>0</v>
      </c>
    </row>
    <row r="1664" spans="1:21" x14ac:dyDescent="0.3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  <c r="U1664">
        <f>IF(ChurnData[[#This Row],[churn]]="yes",1,0)</f>
        <v>0</v>
      </c>
    </row>
    <row r="1665" spans="1:21" x14ac:dyDescent="0.3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  <c r="U1665">
        <f>IF(ChurnData[[#This Row],[churn]]="yes",1,0)</f>
        <v>0</v>
      </c>
    </row>
    <row r="1666" spans="1:21" x14ac:dyDescent="0.3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  <c r="U1666">
        <f>IF(ChurnData[[#This Row],[churn]]="yes",1,0)</f>
        <v>0</v>
      </c>
    </row>
    <row r="1667" spans="1:21" x14ac:dyDescent="0.3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  <c r="U1667">
        <f>IF(ChurnData[[#This Row],[churn]]="yes",1,0)</f>
        <v>1</v>
      </c>
    </row>
    <row r="1668" spans="1:21" x14ac:dyDescent="0.3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  <c r="U1668">
        <f>IF(ChurnData[[#This Row],[churn]]="yes",1,0)</f>
        <v>0</v>
      </c>
    </row>
    <row r="1669" spans="1:21" x14ac:dyDescent="0.3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  <c r="U1669">
        <f>IF(ChurnData[[#This Row],[churn]]="yes",1,0)</f>
        <v>0</v>
      </c>
    </row>
    <row r="1670" spans="1:21" x14ac:dyDescent="0.3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  <c r="U1670">
        <f>IF(ChurnData[[#This Row],[churn]]="yes",1,0)</f>
        <v>0</v>
      </c>
    </row>
    <row r="1671" spans="1:21" x14ac:dyDescent="0.3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  <c r="U1671">
        <f>IF(ChurnData[[#This Row],[churn]]="yes",1,0)</f>
        <v>0</v>
      </c>
    </row>
    <row r="1672" spans="1:21" x14ac:dyDescent="0.3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  <c r="U1672">
        <f>IF(ChurnData[[#This Row],[churn]]="yes",1,0)</f>
        <v>0</v>
      </c>
    </row>
    <row r="1673" spans="1:21" x14ac:dyDescent="0.3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  <c r="U1673">
        <f>IF(ChurnData[[#This Row],[churn]]="yes",1,0)</f>
        <v>0</v>
      </c>
    </row>
    <row r="1674" spans="1:21" x14ac:dyDescent="0.3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  <c r="U1674">
        <f>IF(ChurnData[[#This Row],[churn]]="yes",1,0)</f>
        <v>0</v>
      </c>
    </row>
    <row r="1675" spans="1:21" x14ac:dyDescent="0.3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  <c r="U1675">
        <f>IF(ChurnData[[#This Row],[churn]]="yes",1,0)</f>
        <v>1</v>
      </c>
    </row>
    <row r="1676" spans="1:21" x14ac:dyDescent="0.3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  <c r="U1676">
        <f>IF(ChurnData[[#This Row],[churn]]="yes",1,0)</f>
        <v>0</v>
      </c>
    </row>
    <row r="1677" spans="1:21" x14ac:dyDescent="0.3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  <c r="U1677">
        <f>IF(ChurnData[[#This Row],[churn]]="yes",1,0)</f>
        <v>1</v>
      </c>
    </row>
    <row r="1678" spans="1:21" x14ac:dyDescent="0.3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  <c r="U1678">
        <f>IF(ChurnData[[#This Row],[churn]]="yes",1,0)</f>
        <v>1</v>
      </c>
    </row>
    <row r="1679" spans="1:21" x14ac:dyDescent="0.3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  <c r="U1679">
        <f>IF(ChurnData[[#This Row],[churn]]="yes",1,0)</f>
        <v>0</v>
      </c>
    </row>
    <row r="1680" spans="1:21" x14ac:dyDescent="0.3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  <c r="U1680">
        <f>IF(ChurnData[[#This Row],[churn]]="yes",1,0)</f>
        <v>0</v>
      </c>
    </row>
    <row r="1681" spans="1:21" x14ac:dyDescent="0.3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  <c r="U1681">
        <f>IF(ChurnData[[#This Row],[churn]]="yes",1,0)</f>
        <v>0</v>
      </c>
    </row>
    <row r="1682" spans="1:21" x14ac:dyDescent="0.3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  <c r="U1682">
        <f>IF(ChurnData[[#This Row],[churn]]="yes",1,0)</f>
        <v>0</v>
      </c>
    </row>
    <row r="1683" spans="1:21" x14ac:dyDescent="0.3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  <c r="U1683">
        <f>IF(ChurnData[[#This Row],[churn]]="yes",1,0)</f>
        <v>1</v>
      </c>
    </row>
    <row r="1684" spans="1:21" x14ac:dyDescent="0.3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  <c r="U1684">
        <f>IF(ChurnData[[#This Row],[churn]]="yes",1,0)</f>
        <v>0</v>
      </c>
    </row>
    <row r="1685" spans="1:21" x14ac:dyDescent="0.3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  <c r="U1685">
        <f>IF(ChurnData[[#This Row],[churn]]="yes",1,0)</f>
        <v>0</v>
      </c>
    </row>
    <row r="1686" spans="1:21" x14ac:dyDescent="0.3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  <c r="U1686">
        <f>IF(ChurnData[[#This Row],[churn]]="yes",1,0)</f>
        <v>0</v>
      </c>
    </row>
    <row r="1687" spans="1:21" x14ac:dyDescent="0.3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  <c r="U1687">
        <f>IF(ChurnData[[#This Row],[churn]]="yes",1,0)</f>
        <v>0</v>
      </c>
    </row>
    <row r="1688" spans="1:21" x14ac:dyDescent="0.3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  <c r="U1688">
        <f>IF(ChurnData[[#This Row],[churn]]="yes",1,0)</f>
        <v>0</v>
      </c>
    </row>
    <row r="1689" spans="1:21" x14ac:dyDescent="0.3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  <c r="U1689">
        <f>IF(ChurnData[[#This Row],[churn]]="yes",1,0)</f>
        <v>0</v>
      </c>
    </row>
    <row r="1690" spans="1:21" x14ac:dyDescent="0.3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  <c r="U1690">
        <f>IF(ChurnData[[#This Row],[churn]]="yes",1,0)</f>
        <v>0</v>
      </c>
    </row>
    <row r="1691" spans="1:21" x14ac:dyDescent="0.3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  <c r="U1691">
        <f>IF(ChurnData[[#This Row],[churn]]="yes",1,0)</f>
        <v>0</v>
      </c>
    </row>
    <row r="1692" spans="1:21" x14ac:dyDescent="0.3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  <c r="U1692">
        <f>IF(ChurnData[[#This Row],[churn]]="yes",1,0)</f>
        <v>0</v>
      </c>
    </row>
    <row r="1693" spans="1:21" x14ac:dyDescent="0.3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  <c r="U1693">
        <f>IF(ChurnData[[#This Row],[churn]]="yes",1,0)</f>
        <v>0</v>
      </c>
    </row>
    <row r="1694" spans="1:21" x14ac:dyDescent="0.3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  <c r="U1694">
        <f>IF(ChurnData[[#This Row],[churn]]="yes",1,0)</f>
        <v>0</v>
      </c>
    </row>
    <row r="1695" spans="1:21" x14ac:dyDescent="0.3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  <c r="U1695">
        <f>IF(ChurnData[[#This Row],[churn]]="yes",1,0)</f>
        <v>0</v>
      </c>
    </row>
    <row r="1696" spans="1:21" x14ac:dyDescent="0.3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  <c r="U1696">
        <f>IF(ChurnData[[#This Row],[churn]]="yes",1,0)</f>
        <v>0</v>
      </c>
    </row>
    <row r="1697" spans="1:21" x14ac:dyDescent="0.3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  <c r="U1697">
        <f>IF(ChurnData[[#This Row],[churn]]="yes",1,0)</f>
        <v>0</v>
      </c>
    </row>
    <row r="1698" spans="1:21" x14ac:dyDescent="0.3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  <c r="U1698">
        <f>IF(ChurnData[[#This Row],[churn]]="yes",1,0)</f>
        <v>1</v>
      </c>
    </row>
    <row r="1699" spans="1:21" x14ac:dyDescent="0.3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  <c r="U1699">
        <f>IF(ChurnData[[#This Row],[churn]]="yes",1,0)</f>
        <v>0</v>
      </c>
    </row>
    <row r="1700" spans="1:21" x14ac:dyDescent="0.3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  <c r="U1700">
        <f>IF(ChurnData[[#This Row],[churn]]="yes",1,0)</f>
        <v>0</v>
      </c>
    </row>
    <row r="1701" spans="1:21" x14ac:dyDescent="0.3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  <c r="U1701">
        <f>IF(ChurnData[[#This Row],[churn]]="yes",1,0)</f>
        <v>0</v>
      </c>
    </row>
    <row r="1702" spans="1:21" x14ac:dyDescent="0.3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  <c r="U1702">
        <f>IF(ChurnData[[#This Row],[churn]]="yes",1,0)</f>
        <v>0</v>
      </c>
    </row>
    <row r="1703" spans="1:21" x14ac:dyDescent="0.3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  <c r="U1703">
        <f>IF(ChurnData[[#This Row],[churn]]="yes",1,0)</f>
        <v>0</v>
      </c>
    </row>
    <row r="1704" spans="1:21" x14ac:dyDescent="0.3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  <c r="U1704">
        <f>IF(ChurnData[[#This Row],[churn]]="yes",1,0)</f>
        <v>0</v>
      </c>
    </row>
    <row r="1705" spans="1:21" x14ac:dyDescent="0.3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  <c r="U1705">
        <f>IF(ChurnData[[#This Row],[churn]]="yes",1,0)</f>
        <v>0</v>
      </c>
    </row>
    <row r="1706" spans="1:21" x14ac:dyDescent="0.3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  <c r="U1706">
        <f>IF(ChurnData[[#This Row],[churn]]="yes",1,0)</f>
        <v>0</v>
      </c>
    </row>
    <row r="1707" spans="1:21" x14ac:dyDescent="0.3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  <c r="U1707">
        <f>IF(ChurnData[[#This Row],[churn]]="yes",1,0)</f>
        <v>0</v>
      </c>
    </row>
    <row r="1708" spans="1:21" x14ac:dyDescent="0.3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  <c r="U1708">
        <f>IF(ChurnData[[#This Row],[churn]]="yes",1,0)</f>
        <v>0</v>
      </c>
    </row>
    <row r="1709" spans="1:21" x14ac:dyDescent="0.3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  <c r="U1709">
        <f>IF(ChurnData[[#This Row],[churn]]="yes",1,0)</f>
        <v>0</v>
      </c>
    </row>
    <row r="1710" spans="1:21" x14ac:dyDescent="0.3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  <c r="U1710">
        <f>IF(ChurnData[[#This Row],[churn]]="yes",1,0)</f>
        <v>0</v>
      </c>
    </row>
    <row r="1711" spans="1:21" x14ac:dyDescent="0.3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  <c r="U1711">
        <f>IF(ChurnData[[#This Row],[churn]]="yes",1,0)</f>
        <v>0</v>
      </c>
    </row>
    <row r="1712" spans="1:21" x14ac:dyDescent="0.3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  <c r="U1712">
        <f>IF(ChurnData[[#This Row],[churn]]="yes",1,0)</f>
        <v>0</v>
      </c>
    </row>
    <row r="1713" spans="1:21" x14ac:dyDescent="0.3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  <c r="U1713">
        <f>IF(ChurnData[[#This Row],[churn]]="yes",1,0)</f>
        <v>0</v>
      </c>
    </row>
    <row r="1714" spans="1:21" x14ac:dyDescent="0.3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  <c r="U1714">
        <f>IF(ChurnData[[#This Row],[churn]]="yes",1,0)</f>
        <v>0</v>
      </c>
    </row>
    <row r="1715" spans="1:21" x14ac:dyDescent="0.3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  <c r="U1715">
        <f>IF(ChurnData[[#This Row],[churn]]="yes",1,0)</f>
        <v>0</v>
      </c>
    </row>
    <row r="1716" spans="1:21" x14ac:dyDescent="0.3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  <c r="U1716">
        <f>IF(ChurnData[[#This Row],[churn]]="yes",1,0)</f>
        <v>0</v>
      </c>
    </row>
    <row r="1717" spans="1:21" x14ac:dyDescent="0.3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  <c r="U1717">
        <f>IF(ChurnData[[#This Row],[churn]]="yes",1,0)</f>
        <v>0</v>
      </c>
    </row>
    <row r="1718" spans="1:21" x14ac:dyDescent="0.3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  <c r="U1718">
        <f>IF(ChurnData[[#This Row],[churn]]="yes",1,0)</f>
        <v>0</v>
      </c>
    </row>
    <row r="1719" spans="1:21" x14ac:dyDescent="0.3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  <c r="U1719">
        <f>IF(ChurnData[[#This Row],[churn]]="yes",1,0)</f>
        <v>1</v>
      </c>
    </row>
    <row r="1720" spans="1:21" x14ac:dyDescent="0.3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  <c r="U1720">
        <f>IF(ChurnData[[#This Row],[churn]]="yes",1,0)</f>
        <v>1</v>
      </c>
    </row>
    <row r="1721" spans="1:21" x14ac:dyDescent="0.3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  <c r="U1721">
        <f>IF(ChurnData[[#This Row],[churn]]="yes",1,0)</f>
        <v>0</v>
      </c>
    </row>
    <row r="1722" spans="1:21" x14ac:dyDescent="0.3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  <c r="U1722">
        <f>IF(ChurnData[[#This Row],[churn]]="yes",1,0)</f>
        <v>0</v>
      </c>
    </row>
    <row r="1723" spans="1:21" x14ac:dyDescent="0.3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  <c r="U1723">
        <f>IF(ChurnData[[#This Row],[churn]]="yes",1,0)</f>
        <v>0</v>
      </c>
    </row>
    <row r="1724" spans="1:21" x14ac:dyDescent="0.3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  <c r="U1724">
        <f>IF(ChurnData[[#This Row],[churn]]="yes",1,0)</f>
        <v>1</v>
      </c>
    </row>
    <row r="1725" spans="1:21" x14ac:dyDescent="0.3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  <c r="U1725">
        <f>IF(ChurnData[[#This Row],[churn]]="yes",1,0)</f>
        <v>0</v>
      </c>
    </row>
    <row r="1726" spans="1:21" x14ac:dyDescent="0.3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  <c r="U1726">
        <f>IF(ChurnData[[#This Row],[churn]]="yes",1,0)</f>
        <v>0</v>
      </c>
    </row>
    <row r="1727" spans="1:21" x14ac:dyDescent="0.3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  <c r="U1727">
        <f>IF(ChurnData[[#This Row],[churn]]="yes",1,0)</f>
        <v>0</v>
      </c>
    </row>
    <row r="1728" spans="1:21" x14ac:dyDescent="0.3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  <c r="U1728">
        <f>IF(ChurnData[[#This Row],[churn]]="yes",1,0)</f>
        <v>0</v>
      </c>
    </row>
    <row r="1729" spans="1:21" x14ac:dyDescent="0.3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  <c r="U1729">
        <f>IF(ChurnData[[#This Row],[churn]]="yes",1,0)</f>
        <v>1</v>
      </c>
    </row>
    <row r="1730" spans="1:21" x14ac:dyDescent="0.3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  <c r="U1730">
        <f>IF(ChurnData[[#This Row],[churn]]="yes",1,0)</f>
        <v>0</v>
      </c>
    </row>
    <row r="1731" spans="1:21" x14ac:dyDescent="0.3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  <c r="U1731">
        <f>IF(ChurnData[[#This Row],[churn]]="yes",1,0)</f>
        <v>0</v>
      </c>
    </row>
    <row r="1732" spans="1:21" x14ac:dyDescent="0.3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  <c r="U1732">
        <f>IF(ChurnData[[#This Row],[churn]]="yes",1,0)</f>
        <v>0</v>
      </c>
    </row>
    <row r="1733" spans="1:21" x14ac:dyDescent="0.3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  <c r="U1733">
        <f>IF(ChurnData[[#This Row],[churn]]="yes",1,0)</f>
        <v>0</v>
      </c>
    </row>
    <row r="1734" spans="1:21" x14ac:dyDescent="0.3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  <c r="U1734">
        <f>IF(ChurnData[[#This Row],[churn]]="yes",1,0)</f>
        <v>0</v>
      </c>
    </row>
    <row r="1735" spans="1:21" x14ac:dyDescent="0.3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  <c r="U1735">
        <f>IF(ChurnData[[#This Row],[churn]]="yes",1,0)</f>
        <v>0</v>
      </c>
    </row>
    <row r="1736" spans="1:21" x14ac:dyDescent="0.3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  <c r="U1736">
        <f>IF(ChurnData[[#This Row],[churn]]="yes",1,0)</f>
        <v>0</v>
      </c>
    </row>
    <row r="1737" spans="1:21" x14ac:dyDescent="0.3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  <c r="U1737">
        <f>IF(ChurnData[[#This Row],[churn]]="yes",1,0)</f>
        <v>0</v>
      </c>
    </row>
    <row r="1738" spans="1:21" x14ac:dyDescent="0.3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  <c r="U1738">
        <f>IF(ChurnData[[#This Row],[churn]]="yes",1,0)</f>
        <v>0</v>
      </c>
    </row>
    <row r="1739" spans="1:21" x14ac:dyDescent="0.3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  <c r="U1739">
        <f>IF(ChurnData[[#This Row],[churn]]="yes",1,0)</f>
        <v>0</v>
      </c>
    </row>
    <row r="1740" spans="1:21" x14ac:dyDescent="0.3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  <c r="U1740">
        <f>IF(ChurnData[[#This Row],[churn]]="yes",1,0)</f>
        <v>0</v>
      </c>
    </row>
    <row r="1741" spans="1:21" x14ac:dyDescent="0.3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  <c r="U1741">
        <f>IF(ChurnData[[#This Row],[churn]]="yes",1,0)</f>
        <v>0</v>
      </c>
    </row>
    <row r="1742" spans="1:21" x14ac:dyDescent="0.3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  <c r="U1742">
        <f>IF(ChurnData[[#This Row],[churn]]="yes",1,0)</f>
        <v>0</v>
      </c>
    </row>
    <row r="1743" spans="1:21" x14ac:dyDescent="0.3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  <c r="U1743">
        <f>IF(ChurnData[[#This Row],[churn]]="yes",1,0)</f>
        <v>0</v>
      </c>
    </row>
    <row r="1744" spans="1:21" x14ac:dyDescent="0.3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  <c r="U1744">
        <f>IF(ChurnData[[#This Row],[churn]]="yes",1,0)</f>
        <v>0</v>
      </c>
    </row>
    <row r="1745" spans="1:21" x14ac:dyDescent="0.3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  <c r="U1745">
        <f>IF(ChurnData[[#This Row],[churn]]="yes",1,0)</f>
        <v>0</v>
      </c>
    </row>
    <row r="1746" spans="1:21" x14ac:dyDescent="0.3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  <c r="U1746">
        <f>IF(ChurnData[[#This Row],[churn]]="yes",1,0)</f>
        <v>0</v>
      </c>
    </row>
    <row r="1747" spans="1:21" x14ac:dyDescent="0.3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  <c r="U1747">
        <f>IF(ChurnData[[#This Row],[churn]]="yes",1,0)</f>
        <v>1</v>
      </c>
    </row>
    <row r="1748" spans="1:21" x14ac:dyDescent="0.3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  <c r="U1748">
        <f>IF(ChurnData[[#This Row],[churn]]="yes",1,0)</f>
        <v>0</v>
      </c>
    </row>
    <row r="1749" spans="1:21" x14ac:dyDescent="0.3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  <c r="U1749">
        <f>IF(ChurnData[[#This Row],[churn]]="yes",1,0)</f>
        <v>0</v>
      </c>
    </row>
    <row r="1750" spans="1:21" x14ac:dyDescent="0.3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  <c r="U1750">
        <f>IF(ChurnData[[#This Row],[churn]]="yes",1,0)</f>
        <v>0</v>
      </c>
    </row>
    <row r="1751" spans="1:21" x14ac:dyDescent="0.3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  <c r="U1751">
        <f>IF(ChurnData[[#This Row],[churn]]="yes",1,0)</f>
        <v>0</v>
      </c>
    </row>
    <row r="1752" spans="1:21" x14ac:dyDescent="0.3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  <c r="U1752">
        <f>IF(ChurnData[[#This Row],[churn]]="yes",1,0)</f>
        <v>0</v>
      </c>
    </row>
    <row r="1753" spans="1:21" x14ac:dyDescent="0.3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  <c r="U1753">
        <f>IF(ChurnData[[#This Row],[churn]]="yes",1,0)</f>
        <v>0</v>
      </c>
    </row>
    <row r="1754" spans="1:21" x14ac:dyDescent="0.3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  <c r="U1754">
        <f>IF(ChurnData[[#This Row],[churn]]="yes",1,0)</f>
        <v>0</v>
      </c>
    </row>
    <row r="1755" spans="1:21" x14ac:dyDescent="0.3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  <c r="U1755">
        <f>IF(ChurnData[[#This Row],[churn]]="yes",1,0)</f>
        <v>0</v>
      </c>
    </row>
    <row r="1756" spans="1:21" x14ac:dyDescent="0.3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  <c r="U1756">
        <f>IF(ChurnData[[#This Row],[churn]]="yes",1,0)</f>
        <v>1</v>
      </c>
    </row>
    <row r="1757" spans="1:21" x14ac:dyDescent="0.3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  <c r="U1757">
        <f>IF(ChurnData[[#This Row],[churn]]="yes",1,0)</f>
        <v>0</v>
      </c>
    </row>
    <row r="1758" spans="1:21" x14ac:dyDescent="0.3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  <c r="U1758">
        <f>IF(ChurnData[[#This Row],[churn]]="yes",1,0)</f>
        <v>0</v>
      </c>
    </row>
    <row r="1759" spans="1:21" x14ac:dyDescent="0.3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  <c r="U1759">
        <f>IF(ChurnData[[#This Row],[churn]]="yes",1,0)</f>
        <v>0</v>
      </c>
    </row>
    <row r="1760" spans="1:21" x14ac:dyDescent="0.3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  <c r="U1760">
        <f>IF(ChurnData[[#This Row],[churn]]="yes",1,0)</f>
        <v>0</v>
      </c>
    </row>
    <row r="1761" spans="1:21" x14ac:dyDescent="0.3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  <c r="U1761">
        <f>IF(ChurnData[[#This Row],[churn]]="yes",1,0)</f>
        <v>0</v>
      </c>
    </row>
    <row r="1762" spans="1:21" x14ac:dyDescent="0.3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  <c r="U1762">
        <f>IF(ChurnData[[#This Row],[churn]]="yes",1,0)</f>
        <v>0</v>
      </c>
    </row>
    <row r="1763" spans="1:21" x14ac:dyDescent="0.3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  <c r="U1763">
        <f>IF(ChurnData[[#This Row],[churn]]="yes",1,0)</f>
        <v>1</v>
      </c>
    </row>
    <row r="1764" spans="1:21" x14ac:dyDescent="0.3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  <c r="U1764">
        <f>IF(ChurnData[[#This Row],[churn]]="yes",1,0)</f>
        <v>0</v>
      </c>
    </row>
    <row r="1765" spans="1:21" x14ac:dyDescent="0.3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  <c r="U1765">
        <f>IF(ChurnData[[#This Row],[churn]]="yes",1,0)</f>
        <v>0</v>
      </c>
    </row>
    <row r="1766" spans="1:21" x14ac:dyDescent="0.3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  <c r="U1766">
        <f>IF(ChurnData[[#This Row],[churn]]="yes",1,0)</f>
        <v>0</v>
      </c>
    </row>
    <row r="1767" spans="1:21" x14ac:dyDescent="0.3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  <c r="U1767">
        <f>IF(ChurnData[[#This Row],[churn]]="yes",1,0)</f>
        <v>0</v>
      </c>
    </row>
    <row r="1768" spans="1:21" x14ac:dyDescent="0.3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  <c r="U1768">
        <f>IF(ChurnData[[#This Row],[churn]]="yes",1,0)</f>
        <v>0</v>
      </c>
    </row>
    <row r="1769" spans="1:21" x14ac:dyDescent="0.3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  <c r="U1769">
        <f>IF(ChurnData[[#This Row],[churn]]="yes",1,0)</f>
        <v>0</v>
      </c>
    </row>
    <row r="1770" spans="1:21" x14ac:dyDescent="0.3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  <c r="U1770">
        <f>IF(ChurnData[[#This Row],[churn]]="yes",1,0)</f>
        <v>0</v>
      </c>
    </row>
    <row r="1771" spans="1:21" x14ac:dyDescent="0.3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  <c r="U1771">
        <f>IF(ChurnData[[#This Row],[churn]]="yes",1,0)</f>
        <v>0</v>
      </c>
    </row>
    <row r="1772" spans="1:21" x14ac:dyDescent="0.3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  <c r="U1772">
        <f>IF(ChurnData[[#This Row],[churn]]="yes",1,0)</f>
        <v>0</v>
      </c>
    </row>
    <row r="1773" spans="1:21" x14ac:dyDescent="0.3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  <c r="U1773">
        <f>IF(ChurnData[[#This Row],[churn]]="yes",1,0)</f>
        <v>0</v>
      </c>
    </row>
    <row r="1774" spans="1:21" x14ac:dyDescent="0.3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  <c r="U1774">
        <f>IF(ChurnData[[#This Row],[churn]]="yes",1,0)</f>
        <v>0</v>
      </c>
    </row>
    <row r="1775" spans="1:21" x14ac:dyDescent="0.3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  <c r="U1775">
        <f>IF(ChurnData[[#This Row],[churn]]="yes",1,0)</f>
        <v>0</v>
      </c>
    </row>
    <row r="1776" spans="1:21" x14ac:dyDescent="0.3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  <c r="U1776">
        <f>IF(ChurnData[[#This Row],[churn]]="yes",1,0)</f>
        <v>0</v>
      </c>
    </row>
    <row r="1777" spans="1:21" x14ac:dyDescent="0.3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  <c r="U1777">
        <f>IF(ChurnData[[#This Row],[churn]]="yes",1,0)</f>
        <v>0</v>
      </c>
    </row>
    <row r="1778" spans="1:21" x14ac:dyDescent="0.3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  <c r="U1778">
        <f>IF(ChurnData[[#This Row],[churn]]="yes",1,0)</f>
        <v>0</v>
      </c>
    </row>
    <row r="1779" spans="1:21" x14ac:dyDescent="0.3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  <c r="U1779">
        <f>IF(ChurnData[[#This Row],[churn]]="yes",1,0)</f>
        <v>0</v>
      </c>
    </row>
    <row r="1780" spans="1:21" x14ac:dyDescent="0.3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  <c r="U1780">
        <f>IF(ChurnData[[#This Row],[churn]]="yes",1,0)</f>
        <v>0</v>
      </c>
    </row>
    <row r="1781" spans="1:21" x14ac:dyDescent="0.3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  <c r="U1781">
        <f>IF(ChurnData[[#This Row],[churn]]="yes",1,0)</f>
        <v>0</v>
      </c>
    </row>
    <row r="1782" spans="1:21" x14ac:dyDescent="0.3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  <c r="U1782">
        <f>IF(ChurnData[[#This Row],[churn]]="yes",1,0)</f>
        <v>0</v>
      </c>
    </row>
    <row r="1783" spans="1:21" x14ac:dyDescent="0.3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  <c r="U1783">
        <f>IF(ChurnData[[#This Row],[churn]]="yes",1,0)</f>
        <v>1</v>
      </c>
    </row>
    <row r="1784" spans="1:21" x14ac:dyDescent="0.3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  <c r="U1784">
        <f>IF(ChurnData[[#This Row],[churn]]="yes",1,0)</f>
        <v>0</v>
      </c>
    </row>
    <row r="1785" spans="1:21" x14ac:dyDescent="0.3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  <c r="U1785">
        <f>IF(ChurnData[[#This Row],[churn]]="yes",1,0)</f>
        <v>0</v>
      </c>
    </row>
    <row r="1786" spans="1:21" x14ac:dyDescent="0.3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  <c r="U1786">
        <f>IF(ChurnData[[#This Row],[churn]]="yes",1,0)</f>
        <v>0</v>
      </c>
    </row>
    <row r="1787" spans="1:21" x14ac:dyDescent="0.3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  <c r="U1787">
        <f>IF(ChurnData[[#This Row],[churn]]="yes",1,0)</f>
        <v>1</v>
      </c>
    </row>
    <row r="1788" spans="1:21" x14ac:dyDescent="0.3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  <c r="U1788">
        <f>IF(ChurnData[[#This Row],[churn]]="yes",1,0)</f>
        <v>0</v>
      </c>
    </row>
    <row r="1789" spans="1:21" x14ac:dyDescent="0.3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  <c r="U1789">
        <f>IF(ChurnData[[#This Row],[churn]]="yes",1,0)</f>
        <v>0</v>
      </c>
    </row>
    <row r="1790" spans="1:21" x14ac:dyDescent="0.3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  <c r="U1790">
        <f>IF(ChurnData[[#This Row],[churn]]="yes",1,0)</f>
        <v>1</v>
      </c>
    </row>
    <row r="1791" spans="1:21" x14ac:dyDescent="0.3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  <c r="U1791">
        <f>IF(ChurnData[[#This Row],[churn]]="yes",1,0)</f>
        <v>1</v>
      </c>
    </row>
    <row r="1792" spans="1:21" x14ac:dyDescent="0.3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  <c r="U1792">
        <f>IF(ChurnData[[#This Row],[churn]]="yes",1,0)</f>
        <v>0</v>
      </c>
    </row>
    <row r="1793" spans="1:21" x14ac:dyDescent="0.3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  <c r="U1793">
        <f>IF(ChurnData[[#This Row],[churn]]="yes",1,0)</f>
        <v>0</v>
      </c>
    </row>
    <row r="1794" spans="1:21" x14ac:dyDescent="0.3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  <c r="U1794">
        <f>IF(ChurnData[[#This Row],[churn]]="yes",1,0)</f>
        <v>0</v>
      </c>
    </row>
    <row r="1795" spans="1:21" x14ac:dyDescent="0.3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  <c r="U1795">
        <f>IF(ChurnData[[#This Row],[churn]]="yes",1,0)</f>
        <v>0</v>
      </c>
    </row>
    <row r="1796" spans="1:21" x14ac:dyDescent="0.3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  <c r="U1796">
        <f>IF(ChurnData[[#This Row],[churn]]="yes",1,0)</f>
        <v>1</v>
      </c>
    </row>
    <row r="1797" spans="1:21" x14ac:dyDescent="0.3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  <c r="U1797">
        <f>IF(ChurnData[[#This Row],[churn]]="yes",1,0)</f>
        <v>1</v>
      </c>
    </row>
    <row r="1798" spans="1:21" x14ac:dyDescent="0.3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  <c r="U1798">
        <f>IF(ChurnData[[#This Row],[churn]]="yes",1,0)</f>
        <v>0</v>
      </c>
    </row>
    <row r="1799" spans="1:21" x14ac:dyDescent="0.3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  <c r="U1799">
        <f>IF(ChurnData[[#This Row],[churn]]="yes",1,0)</f>
        <v>0</v>
      </c>
    </row>
    <row r="1800" spans="1:21" x14ac:dyDescent="0.3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  <c r="U1800">
        <f>IF(ChurnData[[#This Row],[churn]]="yes",1,0)</f>
        <v>0</v>
      </c>
    </row>
    <row r="1801" spans="1:21" x14ac:dyDescent="0.3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  <c r="U1801">
        <f>IF(ChurnData[[#This Row],[churn]]="yes",1,0)</f>
        <v>1</v>
      </c>
    </row>
    <row r="1802" spans="1:21" x14ac:dyDescent="0.3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  <c r="U1802">
        <f>IF(ChurnData[[#This Row],[churn]]="yes",1,0)</f>
        <v>1</v>
      </c>
    </row>
    <row r="1803" spans="1:21" x14ac:dyDescent="0.3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  <c r="U1803">
        <f>IF(ChurnData[[#This Row],[churn]]="yes",1,0)</f>
        <v>0</v>
      </c>
    </row>
    <row r="1804" spans="1:21" x14ac:dyDescent="0.3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  <c r="U1804">
        <f>IF(ChurnData[[#This Row],[churn]]="yes",1,0)</f>
        <v>0</v>
      </c>
    </row>
    <row r="1805" spans="1:21" x14ac:dyDescent="0.3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  <c r="U1805">
        <f>IF(ChurnData[[#This Row],[churn]]="yes",1,0)</f>
        <v>0</v>
      </c>
    </row>
    <row r="1806" spans="1:21" x14ac:dyDescent="0.3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  <c r="U1806">
        <f>IF(ChurnData[[#This Row],[churn]]="yes",1,0)</f>
        <v>0</v>
      </c>
    </row>
    <row r="1807" spans="1:21" x14ac:dyDescent="0.3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  <c r="U1807">
        <f>IF(ChurnData[[#This Row],[churn]]="yes",1,0)</f>
        <v>0</v>
      </c>
    </row>
    <row r="1808" spans="1:21" x14ac:dyDescent="0.3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  <c r="U1808">
        <f>IF(ChurnData[[#This Row],[churn]]="yes",1,0)</f>
        <v>0</v>
      </c>
    </row>
    <row r="1809" spans="1:21" x14ac:dyDescent="0.3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  <c r="U1809">
        <f>IF(ChurnData[[#This Row],[churn]]="yes",1,0)</f>
        <v>0</v>
      </c>
    </row>
    <row r="1810" spans="1:21" x14ac:dyDescent="0.3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  <c r="U1810">
        <f>IF(ChurnData[[#This Row],[churn]]="yes",1,0)</f>
        <v>0</v>
      </c>
    </row>
    <row r="1811" spans="1:21" x14ac:dyDescent="0.3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  <c r="U1811">
        <f>IF(ChurnData[[#This Row],[churn]]="yes",1,0)</f>
        <v>0</v>
      </c>
    </row>
    <row r="1812" spans="1:21" x14ac:dyDescent="0.3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  <c r="U1812">
        <f>IF(ChurnData[[#This Row],[churn]]="yes",1,0)</f>
        <v>0</v>
      </c>
    </row>
    <row r="1813" spans="1:21" x14ac:dyDescent="0.3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  <c r="U1813">
        <f>IF(ChurnData[[#This Row],[churn]]="yes",1,0)</f>
        <v>0</v>
      </c>
    </row>
    <row r="1814" spans="1:21" x14ac:dyDescent="0.3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  <c r="U1814">
        <f>IF(ChurnData[[#This Row],[churn]]="yes",1,0)</f>
        <v>0</v>
      </c>
    </row>
    <row r="1815" spans="1:21" x14ac:dyDescent="0.3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  <c r="U1815">
        <f>IF(ChurnData[[#This Row],[churn]]="yes",1,0)</f>
        <v>0</v>
      </c>
    </row>
    <row r="1816" spans="1:21" x14ac:dyDescent="0.3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  <c r="U1816">
        <f>IF(ChurnData[[#This Row],[churn]]="yes",1,0)</f>
        <v>0</v>
      </c>
    </row>
    <row r="1817" spans="1:21" x14ac:dyDescent="0.3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  <c r="U1817">
        <f>IF(ChurnData[[#This Row],[churn]]="yes",1,0)</f>
        <v>0</v>
      </c>
    </row>
    <row r="1818" spans="1:21" x14ac:dyDescent="0.3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  <c r="U1818">
        <f>IF(ChurnData[[#This Row],[churn]]="yes",1,0)</f>
        <v>0</v>
      </c>
    </row>
    <row r="1819" spans="1:21" x14ac:dyDescent="0.3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  <c r="U1819">
        <f>IF(ChurnData[[#This Row],[churn]]="yes",1,0)</f>
        <v>0</v>
      </c>
    </row>
    <row r="1820" spans="1:21" x14ac:dyDescent="0.3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  <c r="U1820">
        <f>IF(ChurnData[[#This Row],[churn]]="yes",1,0)</f>
        <v>1</v>
      </c>
    </row>
    <row r="1821" spans="1:21" x14ac:dyDescent="0.3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  <c r="U1821">
        <f>IF(ChurnData[[#This Row],[churn]]="yes",1,0)</f>
        <v>0</v>
      </c>
    </row>
    <row r="1822" spans="1:21" x14ac:dyDescent="0.3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  <c r="U1822">
        <f>IF(ChurnData[[#This Row],[churn]]="yes",1,0)</f>
        <v>0</v>
      </c>
    </row>
    <row r="1823" spans="1:21" x14ac:dyDescent="0.3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  <c r="U1823">
        <f>IF(ChurnData[[#This Row],[churn]]="yes",1,0)</f>
        <v>1</v>
      </c>
    </row>
    <row r="1824" spans="1:21" x14ac:dyDescent="0.3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  <c r="U1824">
        <f>IF(ChurnData[[#This Row],[churn]]="yes",1,0)</f>
        <v>0</v>
      </c>
    </row>
    <row r="1825" spans="1:21" x14ac:dyDescent="0.3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  <c r="U1825">
        <f>IF(ChurnData[[#This Row],[churn]]="yes",1,0)</f>
        <v>0</v>
      </c>
    </row>
    <row r="1826" spans="1:21" x14ac:dyDescent="0.3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  <c r="U1826">
        <f>IF(ChurnData[[#This Row],[churn]]="yes",1,0)</f>
        <v>0</v>
      </c>
    </row>
    <row r="1827" spans="1:21" x14ac:dyDescent="0.3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  <c r="U1827">
        <f>IF(ChurnData[[#This Row],[churn]]="yes",1,0)</f>
        <v>1</v>
      </c>
    </row>
    <row r="1828" spans="1:21" x14ac:dyDescent="0.3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  <c r="U1828">
        <f>IF(ChurnData[[#This Row],[churn]]="yes",1,0)</f>
        <v>0</v>
      </c>
    </row>
    <row r="1829" spans="1:21" x14ac:dyDescent="0.3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  <c r="U1829">
        <f>IF(ChurnData[[#This Row],[churn]]="yes",1,0)</f>
        <v>0</v>
      </c>
    </row>
    <row r="1830" spans="1:21" x14ac:dyDescent="0.3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  <c r="U1830">
        <f>IF(ChurnData[[#This Row],[churn]]="yes",1,0)</f>
        <v>1</v>
      </c>
    </row>
    <row r="1831" spans="1:21" x14ac:dyDescent="0.3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  <c r="U1831">
        <f>IF(ChurnData[[#This Row],[churn]]="yes",1,0)</f>
        <v>0</v>
      </c>
    </row>
    <row r="1832" spans="1:21" x14ac:dyDescent="0.3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  <c r="U1832">
        <f>IF(ChurnData[[#This Row],[churn]]="yes",1,0)</f>
        <v>0</v>
      </c>
    </row>
    <row r="1833" spans="1:21" x14ac:dyDescent="0.3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  <c r="U1833">
        <f>IF(ChurnData[[#This Row],[churn]]="yes",1,0)</f>
        <v>0</v>
      </c>
    </row>
    <row r="1834" spans="1:21" x14ac:dyDescent="0.3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  <c r="U1834">
        <f>IF(ChurnData[[#This Row],[churn]]="yes",1,0)</f>
        <v>0</v>
      </c>
    </row>
    <row r="1835" spans="1:21" x14ac:dyDescent="0.3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  <c r="U1835">
        <f>IF(ChurnData[[#This Row],[churn]]="yes",1,0)</f>
        <v>1</v>
      </c>
    </row>
    <row r="1836" spans="1:21" x14ac:dyDescent="0.3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  <c r="U1836">
        <f>IF(ChurnData[[#This Row],[churn]]="yes",1,0)</f>
        <v>0</v>
      </c>
    </row>
    <row r="1837" spans="1:21" x14ac:dyDescent="0.3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  <c r="U1837">
        <f>IF(ChurnData[[#This Row],[churn]]="yes",1,0)</f>
        <v>0</v>
      </c>
    </row>
    <row r="1838" spans="1:21" x14ac:dyDescent="0.3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  <c r="U1838">
        <f>IF(ChurnData[[#This Row],[churn]]="yes",1,0)</f>
        <v>1</v>
      </c>
    </row>
    <row r="1839" spans="1:21" x14ac:dyDescent="0.3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  <c r="U1839">
        <f>IF(ChurnData[[#This Row],[churn]]="yes",1,0)</f>
        <v>0</v>
      </c>
    </row>
    <row r="1840" spans="1:21" x14ac:dyDescent="0.3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  <c r="U1840">
        <f>IF(ChurnData[[#This Row],[churn]]="yes",1,0)</f>
        <v>1</v>
      </c>
    </row>
    <row r="1841" spans="1:21" x14ac:dyDescent="0.3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  <c r="U1841">
        <f>IF(ChurnData[[#This Row],[churn]]="yes",1,0)</f>
        <v>0</v>
      </c>
    </row>
    <row r="1842" spans="1:21" x14ac:dyDescent="0.3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  <c r="U1842">
        <f>IF(ChurnData[[#This Row],[churn]]="yes",1,0)</f>
        <v>0</v>
      </c>
    </row>
    <row r="1843" spans="1:21" x14ac:dyDescent="0.3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  <c r="U1843">
        <f>IF(ChurnData[[#This Row],[churn]]="yes",1,0)</f>
        <v>0</v>
      </c>
    </row>
    <row r="1844" spans="1:21" x14ac:dyDescent="0.3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  <c r="U1844">
        <f>IF(ChurnData[[#This Row],[churn]]="yes",1,0)</f>
        <v>1</v>
      </c>
    </row>
    <row r="1845" spans="1:21" x14ac:dyDescent="0.3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  <c r="U1845">
        <f>IF(ChurnData[[#This Row],[churn]]="yes",1,0)</f>
        <v>0</v>
      </c>
    </row>
    <row r="1846" spans="1:21" x14ac:dyDescent="0.3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  <c r="U1846">
        <f>IF(ChurnData[[#This Row],[churn]]="yes",1,0)</f>
        <v>0</v>
      </c>
    </row>
    <row r="1847" spans="1:21" x14ac:dyDescent="0.3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  <c r="U1847">
        <f>IF(ChurnData[[#This Row],[churn]]="yes",1,0)</f>
        <v>0</v>
      </c>
    </row>
    <row r="1848" spans="1:21" x14ac:dyDescent="0.3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  <c r="U1848">
        <f>IF(ChurnData[[#This Row],[churn]]="yes",1,0)</f>
        <v>0</v>
      </c>
    </row>
    <row r="1849" spans="1:21" x14ac:dyDescent="0.3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  <c r="U1849">
        <f>IF(ChurnData[[#This Row],[churn]]="yes",1,0)</f>
        <v>0</v>
      </c>
    </row>
    <row r="1850" spans="1:21" x14ac:dyDescent="0.3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  <c r="U1850">
        <f>IF(ChurnData[[#This Row],[churn]]="yes",1,0)</f>
        <v>0</v>
      </c>
    </row>
    <row r="1851" spans="1:21" x14ac:dyDescent="0.3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  <c r="U1851">
        <f>IF(ChurnData[[#This Row],[churn]]="yes",1,0)</f>
        <v>0</v>
      </c>
    </row>
    <row r="1852" spans="1:21" x14ac:dyDescent="0.3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  <c r="U1852">
        <f>IF(ChurnData[[#This Row],[churn]]="yes",1,0)</f>
        <v>0</v>
      </c>
    </row>
    <row r="1853" spans="1:21" x14ac:dyDescent="0.3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  <c r="U1853">
        <f>IF(ChurnData[[#This Row],[churn]]="yes",1,0)</f>
        <v>0</v>
      </c>
    </row>
    <row r="1854" spans="1:21" x14ac:dyDescent="0.3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  <c r="U1854">
        <f>IF(ChurnData[[#This Row],[churn]]="yes",1,0)</f>
        <v>0</v>
      </c>
    </row>
    <row r="1855" spans="1:21" x14ac:dyDescent="0.3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  <c r="U1855">
        <f>IF(ChurnData[[#This Row],[churn]]="yes",1,0)</f>
        <v>0</v>
      </c>
    </row>
    <row r="1856" spans="1:21" x14ac:dyDescent="0.3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  <c r="U1856">
        <f>IF(ChurnData[[#This Row],[churn]]="yes",1,0)</f>
        <v>0</v>
      </c>
    </row>
    <row r="1857" spans="1:21" x14ac:dyDescent="0.3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  <c r="U1857">
        <f>IF(ChurnData[[#This Row],[churn]]="yes",1,0)</f>
        <v>0</v>
      </c>
    </row>
    <row r="1858" spans="1:21" x14ac:dyDescent="0.3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  <c r="U1858">
        <f>IF(ChurnData[[#This Row],[churn]]="yes",1,0)</f>
        <v>0</v>
      </c>
    </row>
    <row r="1859" spans="1:21" x14ac:dyDescent="0.3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  <c r="U1859">
        <f>IF(ChurnData[[#This Row],[churn]]="yes",1,0)</f>
        <v>0</v>
      </c>
    </row>
    <row r="1860" spans="1:21" x14ac:dyDescent="0.3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  <c r="U1860">
        <f>IF(ChurnData[[#This Row],[churn]]="yes",1,0)</f>
        <v>0</v>
      </c>
    </row>
    <row r="1861" spans="1:21" x14ac:dyDescent="0.3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  <c r="U1861">
        <f>IF(ChurnData[[#This Row],[churn]]="yes",1,0)</f>
        <v>1</v>
      </c>
    </row>
    <row r="1862" spans="1:21" x14ac:dyDescent="0.3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  <c r="U1862">
        <f>IF(ChurnData[[#This Row],[churn]]="yes",1,0)</f>
        <v>1</v>
      </c>
    </row>
    <row r="1863" spans="1:21" x14ac:dyDescent="0.3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  <c r="U1863">
        <f>IF(ChurnData[[#This Row],[churn]]="yes",1,0)</f>
        <v>0</v>
      </c>
    </row>
    <row r="1864" spans="1:21" x14ac:dyDescent="0.3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  <c r="U1864">
        <f>IF(ChurnData[[#This Row],[churn]]="yes",1,0)</f>
        <v>0</v>
      </c>
    </row>
    <row r="1865" spans="1:21" x14ac:dyDescent="0.3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  <c r="U1865">
        <f>IF(ChurnData[[#This Row],[churn]]="yes",1,0)</f>
        <v>0</v>
      </c>
    </row>
    <row r="1866" spans="1:21" x14ac:dyDescent="0.3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  <c r="U1866">
        <f>IF(ChurnData[[#This Row],[churn]]="yes",1,0)</f>
        <v>0</v>
      </c>
    </row>
    <row r="1867" spans="1:21" x14ac:dyDescent="0.3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  <c r="U1867">
        <f>IF(ChurnData[[#This Row],[churn]]="yes",1,0)</f>
        <v>0</v>
      </c>
    </row>
    <row r="1868" spans="1:21" x14ac:dyDescent="0.3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  <c r="U1868">
        <f>IF(ChurnData[[#This Row],[churn]]="yes",1,0)</f>
        <v>0</v>
      </c>
    </row>
    <row r="1869" spans="1:21" x14ac:dyDescent="0.3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  <c r="U1869">
        <f>IF(ChurnData[[#This Row],[churn]]="yes",1,0)</f>
        <v>0</v>
      </c>
    </row>
    <row r="1870" spans="1:21" x14ac:dyDescent="0.3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  <c r="U1870">
        <f>IF(ChurnData[[#This Row],[churn]]="yes",1,0)</f>
        <v>0</v>
      </c>
    </row>
    <row r="1871" spans="1:21" x14ac:dyDescent="0.3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  <c r="U1871">
        <f>IF(ChurnData[[#This Row],[churn]]="yes",1,0)</f>
        <v>0</v>
      </c>
    </row>
    <row r="1872" spans="1:21" x14ac:dyDescent="0.3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  <c r="U1872">
        <f>IF(ChurnData[[#This Row],[churn]]="yes",1,0)</f>
        <v>0</v>
      </c>
    </row>
    <row r="1873" spans="1:21" x14ac:dyDescent="0.3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  <c r="U1873">
        <f>IF(ChurnData[[#This Row],[churn]]="yes",1,0)</f>
        <v>0</v>
      </c>
    </row>
    <row r="1874" spans="1:21" x14ac:dyDescent="0.3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  <c r="U1874">
        <f>IF(ChurnData[[#This Row],[churn]]="yes",1,0)</f>
        <v>0</v>
      </c>
    </row>
    <row r="1875" spans="1:21" x14ac:dyDescent="0.3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  <c r="U1875">
        <f>IF(ChurnData[[#This Row],[churn]]="yes",1,0)</f>
        <v>1</v>
      </c>
    </row>
    <row r="1876" spans="1:21" x14ac:dyDescent="0.3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  <c r="U1876">
        <f>IF(ChurnData[[#This Row],[churn]]="yes",1,0)</f>
        <v>0</v>
      </c>
    </row>
    <row r="1877" spans="1:21" x14ac:dyDescent="0.3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  <c r="U1877">
        <f>IF(ChurnData[[#This Row],[churn]]="yes",1,0)</f>
        <v>0</v>
      </c>
    </row>
    <row r="1878" spans="1:21" x14ac:dyDescent="0.3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  <c r="U1878">
        <f>IF(ChurnData[[#This Row],[churn]]="yes",1,0)</f>
        <v>0</v>
      </c>
    </row>
    <row r="1879" spans="1:21" x14ac:dyDescent="0.3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  <c r="U1879">
        <f>IF(ChurnData[[#This Row],[churn]]="yes",1,0)</f>
        <v>0</v>
      </c>
    </row>
    <row r="1880" spans="1:21" x14ac:dyDescent="0.3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  <c r="U1880">
        <f>IF(ChurnData[[#This Row],[churn]]="yes",1,0)</f>
        <v>0</v>
      </c>
    </row>
    <row r="1881" spans="1:21" x14ac:dyDescent="0.3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  <c r="U1881">
        <f>IF(ChurnData[[#This Row],[churn]]="yes",1,0)</f>
        <v>0</v>
      </c>
    </row>
    <row r="1882" spans="1:21" x14ac:dyDescent="0.3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  <c r="U1882">
        <f>IF(ChurnData[[#This Row],[churn]]="yes",1,0)</f>
        <v>1</v>
      </c>
    </row>
    <row r="1883" spans="1:21" x14ac:dyDescent="0.3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  <c r="U1883">
        <f>IF(ChurnData[[#This Row],[churn]]="yes",1,0)</f>
        <v>0</v>
      </c>
    </row>
    <row r="1884" spans="1:21" x14ac:dyDescent="0.3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  <c r="U1884">
        <f>IF(ChurnData[[#This Row],[churn]]="yes",1,0)</f>
        <v>1</v>
      </c>
    </row>
    <row r="1885" spans="1:21" x14ac:dyDescent="0.3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  <c r="U1885">
        <f>IF(ChurnData[[#This Row],[churn]]="yes",1,0)</f>
        <v>0</v>
      </c>
    </row>
    <row r="1886" spans="1:21" x14ac:dyDescent="0.3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  <c r="U1886">
        <f>IF(ChurnData[[#This Row],[churn]]="yes",1,0)</f>
        <v>0</v>
      </c>
    </row>
    <row r="1887" spans="1:21" x14ac:dyDescent="0.3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  <c r="U1887">
        <f>IF(ChurnData[[#This Row],[churn]]="yes",1,0)</f>
        <v>1</v>
      </c>
    </row>
    <row r="1888" spans="1:21" x14ac:dyDescent="0.3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  <c r="U1888">
        <f>IF(ChurnData[[#This Row],[churn]]="yes",1,0)</f>
        <v>0</v>
      </c>
    </row>
    <row r="1889" spans="1:21" x14ac:dyDescent="0.3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  <c r="U1889">
        <f>IF(ChurnData[[#This Row],[churn]]="yes",1,0)</f>
        <v>0</v>
      </c>
    </row>
    <row r="1890" spans="1:21" x14ac:dyDescent="0.3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  <c r="U1890">
        <f>IF(ChurnData[[#This Row],[churn]]="yes",1,0)</f>
        <v>0</v>
      </c>
    </row>
    <row r="1891" spans="1:21" x14ac:dyDescent="0.3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  <c r="U1891">
        <f>IF(ChurnData[[#This Row],[churn]]="yes",1,0)</f>
        <v>0</v>
      </c>
    </row>
    <row r="1892" spans="1:21" x14ac:dyDescent="0.3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  <c r="U1892">
        <f>IF(ChurnData[[#This Row],[churn]]="yes",1,0)</f>
        <v>0</v>
      </c>
    </row>
    <row r="1893" spans="1:21" x14ac:dyDescent="0.3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  <c r="U1893">
        <f>IF(ChurnData[[#This Row],[churn]]="yes",1,0)</f>
        <v>0</v>
      </c>
    </row>
    <row r="1894" spans="1:21" x14ac:dyDescent="0.3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  <c r="U1894">
        <f>IF(ChurnData[[#This Row],[churn]]="yes",1,0)</f>
        <v>0</v>
      </c>
    </row>
    <row r="1895" spans="1:21" x14ac:dyDescent="0.3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  <c r="U1895">
        <f>IF(ChurnData[[#This Row],[churn]]="yes",1,0)</f>
        <v>0</v>
      </c>
    </row>
    <row r="1896" spans="1:21" x14ac:dyDescent="0.3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  <c r="U1896">
        <f>IF(ChurnData[[#This Row],[churn]]="yes",1,0)</f>
        <v>0</v>
      </c>
    </row>
    <row r="1897" spans="1:21" x14ac:dyDescent="0.3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  <c r="U1897">
        <f>IF(ChurnData[[#This Row],[churn]]="yes",1,0)</f>
        <v>0</v>
      </c>
    </row>
    <row r="1898" spans="1:21" x14ac:dyDescent="0.3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  <c r="U1898">
        <f>IF(ChurnData[[#This Row],[churn]]="yes",1,0)</f>
        <v>0</v>
      </c>
    </row>
    <row r="1899" spans="1:21" x14ac:dyDescent="0.3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  <c r="U1899">
        <f>IF(ChurnData[[#This Row],[churn]]="yes",1,0)</f>
        <v>0</v>
      </c>
    </row>
    <row r="1900" spans="1:21" x14ac:dyDescent="0.3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  <c r="U1900">
        <f>IF(ChurnData[[#This Row],[churn]]="yes",1,0)</f>
        <v>0</v>
      </c>
    </row>
    <row r="1901" spans="1:21" x14ac:dyDescent="0.3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  <c r="U1901">
        <f>IF(ChurnData[[#This Row],[churn]]="yes",1,0)</f>
        <v>0</v>
      </c>
    </row>
    <row r="1902" spans="1:21" x14ac:dyDescent="0.3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  <c r="U1902">
        <f>IF(ChurnData[[#This Row],[churn]]="yes",1,0)</f>
        <v>0</v>
      </c>
    </row>
    <row r="1903" spans="1:21" x14ac:dyDescent="0.3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  <c r="U1903">
        <f>IF(ChurnData[[#This Row],[churn]]="yes",1,0)</f>
        <v>0</v>
      </c>
    </row>
    <row r="1904" spans="1:21" x14ac:dyDescent="0.3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  <c r="U1904">
        <f>IF(ChurnData[[#This Row],[churn]]="yes",1,0)</f>
        <v>0</v>
      </c>
    </row>
    <row r="1905" spans="1:21" x14ac:dyDescent="0.3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  <c r="U1905">
        <f>IF(ChurnData[[#This Row],[churn]]="yes",1,0)</f>
        <v>1</v>
      </c>
    </row>
    <row r="1906" spans="1:21" x14ac:dyDescent="0.3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  <c r="U1906">
        <f>IF(ChurnData[[#This Row],[churn]]="yes",1,0)</f>
        <v>1</v>
      </c>
    </row>
    <row r="1907" spans="1:21" x14ac:dyDescent="0.3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  <c r="U1907">
        <f>IF(ChurnData[[#This Row],[churn]]="yes",1,0)</f>
        <v>0</v>
      </c>
    </row>
    <row r="1908" spans="1:21" x14ac:dyDescent="0.3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  <c r="U1908">
        <f>IF(ChurnData[[#This Row],[churn]]="yes",1,0)</f>
        <v>0</v>
      </c>
    </row>
    <row r="1909" spans="1:21" x14ac:dyDescent="0.3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  <c r="U1909">
        <f>IF(ChurnData[[#This Row],[churn]]="yes",1,0)</f>
        <v>0</v>
      </c>
    </row>
    <row r="1910" spans="1:21" x14ac:dyDescent="0.3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  <c r="U1910">
        <f>IF(ChurnData[[#This Row],[churn]]="yes",1,0)</f>
        <v>0</v>
      </c>
    </row>
    <row r="1911" spans="1:21" x14ac:dyDescent="0.3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  <c r="U1911">
        <f>IF(ChurnData[[#This Row],[churn]]="yes",1,0)</f>
        <v>0</v>
      </c>
    </row>
    <row r="1912" spans="1:21" x14ac:dyDescent="0.3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  <c r="U1912">
        <f>IF(ChurnData[[#This Row],[churn]]="yes",1,0)</f>
        <v>0</v>
      </c>
    </row>
    <row r="1913" spans="1:21" x14ac:dyDescent="0.3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  <c r="U1913">
        <f>IF(ChurnData[[#This Row],[churn]]="yes",1,0)</f>
        <v>0</v>
      </c>
    </row>
    <row r="1914" spans="1:21" x14ac:dyDescent="0.3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  <c r="U1914">
        <f>IF(ChurnData[[#This Row],[churn]]="yes",1,0)</f>
        <v>0</v>
      </c>
    </row>
    <row r="1915" spans="1:21" x14ac:dyDescent="0.3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  <c r="U1915">
        <f>IF(ChurnData[[#This Row],[churn]]="yes",1,0)</f>
        <v>0</v>
      </c>
    </row>
    <row r="1916" spans="1:21" x14ac:dyDescent="0.3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  <c r="U1916">
        <f>IF(ChurnData[[#This Row],[churn]]="yes",1,0)</f>
        <v>0</v>
      </c>
    </row>
    <row r="1917" spans="1:21" x14ac:dyDescent="0.3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  <c r="U1917">
        <f>IF(ChurnData[[#This Row],[churn]]="yes",1,0)</f>
        <v>0</v>
      </c>
    </row>
    <row r="1918" spans="1:21" x14ac:dyDescent="0.3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  <c r="U1918">
        <f>IF(ChurnData[[#This Row],[churn]]="yes",1,0)</f>
        <v>0</v>
      </c>
    </row>
    <row r="1919" spans="1:21" x14ac:dyDescent="0.3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  <c r="U1919">
        <f>IF(ChurnData[[#This Row],[churn]]="yes",1,0)</f>
        <v>0</v>
      </c>
    </row>
    <row r="1920" spans="1:21" x14ac:dyDescent="0.3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  <c r="U1920">
        <f>IF(ChurnData[[#This Row],[churn]]="yes",1,0)</f>
        <v>0</v>
      </c>
    </row>
    <row r="1921" spans="1:21" x14ac:dyDescent="0.3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  <c r="U1921">
        <f>IF(ChurnData[[#This Row],[churn]]="yes",1,0)</f>
        <v>0</v>
      </c>
    </row>
    <row r="1922" spans="1:21" x14ac:dyDescent="0.3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  <c r="U1922">
        <f>IF(ChurnData[[#This Row],[churn]]="yes",1,0)</f>
        <v>0</v>
      </c>
    </row>
    <row r="1923" spans="1:21" x14ac:dyDescent="0.3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  <c r="U1923">
        <f>IF(ChurnData[[#This Row],[churn]]="yes",1,0)</f>
        <v>0</v>
      </c>
    </row>
    <row r="1924" spans="1:21" x14ac:dyDescent="0.3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  <c r="U1924">
        <f>IF(ChurnData[[#This Row],[churn]]="yes",1,0)</f>
        <v>1</v>
      </c>
    </row>
    <row r="1925" spans="1:21" x14ac:dyDescent="0.3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  <c r="U1925">
        <f>IF(ChurnData[[#This Row],[churn]]="yes",1,0)</f>
        <v>0</v>
      </c>
    </row>
    <row r="1926" spans="1:21" x14ac:dyDescent="0.3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  <c r="U1926">
        <f>IF(ChurnData[[#This Row],[churn]]="yes",1,0)</f>
        <v>0</v>
      </c>
    </row>
    <row r="1927" spans="1:21" x14ac:dyDescent="0.3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  <c r="U1927">
        <f>IF(ChurnData[[#This Row],[churn]]="yes",1,0)</f>
        <v>0</v>
      </c>
    </row>
    <row r="1928" spans="1:21" x14ac:dyDescent="0.3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  <c r="U1928">
        <f>IF(ChurnData[[#This Row],[churn]]="yes",1,0)</f>
        <v>0</v>
      </c>
    </row>
    <row r="1929" spans="1:21" x14ac:dyDescent="0.3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  <c r="U1929">
        <f>IF(ChurnData[[#This Row],[churn]]="yes",1,0)</f>
        <v>0</v>
      </c>
    </row>
    <row r="1930" spans="1:21" x14ac:dyDescent="0.3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  <c r="U1930">
        <f>IF(ChurnData[[#This Row],[churn]]="yes",1,0)</f>
        <v>0</v>
      </c>
    </row>
    <row r="1931" spans="1:21" x14ac:dyDescent="0.3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  <c r="U1931">
        <f>IF(ChurnData[[#This Row],[churn]]="yes",1,0)</f>
        <v>0</v>
      </c>
    </row>
    <row r="1932" spans="1:21" x14ac:dyDescent="0.3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  <c r="U1932">
        <f>IF(ChurnData[[#This Row],[churn]]="yes",1,0)</f>
        <v>1</v>
      </c>
    </row>
    <row r="1933" spans="1:21" x14ac:dyDescent="0.3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  <c r="U1933">
        <f>IF(ChurnData[[#This Row],[churn]]="yes",1,0)</f>
        <v>0</v>
      </c>
    </row>
    <row r="1934" spans="1:21" x14ac:dyDescent="0.3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  <c r="U1934">
        <f>IF(ChurnData[[#This Row],[churn]]="yes",1,0)</f>
        <v>0</v>
      </c>
    </row>
    <row r="1935" spans="1:21" x14ac:dyDescent="0.3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  <c r="U1935">
        <f>IF(ChurnData[[#This Row],[churn]]="yes",1,0)</f>
        <v>0</v>
      </c>
    </row>
    <row r="1936" spans="1:21" x14ac:dyDescent="0.3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  <c r="U1936">
        <f>IF(ChurnData[[#This Row],[churn]]="yes",1,0)</f>
        <v>0</v>
      </c>
    </row>
    <row r="1937" spans="1:21" x14ac:dyDescent="0.3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  <c r="U1937">
        <f>IF(ChurnData[[#This Row],[churn]]="yes",1,0)</f>
        <v>0</v>
      </c>
    </row>
    <row r="1938" spans="1:21" x14ac:dyDescent="0.3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  <c r="U1938">
        <f>IF(ChurnData[[#This Row],[churn]]="yes",1,0)</f>
        <v>0</v>
      </c>
    </row>
    <row r="1939" spans="1:21" x14ac:dyDescent="0.3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  <c r="U1939">
        <f>IF(ChurnData[[#This Row],[churn]]="yes",1,0)</f>
        <v>0</v>
      </c>
    </row>
    <row r="1940" spans="1:21" x14ac:dyDescent="0.3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  <c r="U1940">
        <f>IF(ChurnData[[#This Row],[churn]]="yes",1,0)</f>
        <v>0</v>
      </c>
    </row>
    <row r="1941" spans="1:21" x14ac:dyDescent="0.3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  <c r="U1941">
        <f>IF(ChurnData[[#This Row],[churn]]="yes",1,0)</f>
        <v>0</v>
      </c>
    </row>
    <row r="1942" spans="1:21" x14ac:dyDescent="0.3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  <c r="U1942">
        <f>IF(ChurnData[[#This Row],[churn]]="yes",1,0)</f>
        <v>0</v>
      </c>
    </row>
    <row r="1943" spans="1:21" x14ac:dyDescent="0.3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  <c r="U1943">
        <f>IF(ChurnData[[#This Row],[churn]]="yes",1,0)</f>
        <v>0</v>
      </c>
    </row>
    <row r="1944" spans="1:21" x14ac:dyDescent="0.3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  <c r="U1944">
        <f>IF(ChurnData[[#This Row],[churn]]="yes",1,0)</f>
        <v>0</v>
      </c>
    </row>
    <row r="1945" spans="1:21" x14ac:dyDescent="0.3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  <c r="U1945">
        <f>IF(ChurnData[[#This Row],[churn]]="yes",1,0)</f>
        <v>0</v>
      </c>
    </row>
    <row r="1946" spans="1:21" x14ac:dyDescent="0.3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  <c r="U1946">
        <f>IF(ChurnData[[#This Row],[churn]]="yes",1,0)</f>
        <v>1</v>
      </c>
    </row>
    <row r="1947" spans="1:21" x14ac:dyDescent="0.3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  <c r="U1947">
        <f>IF(ChurnData[[#This Row],[churn]]="yes",1,0)</f>
        <v>0</v>
      </c>
    </row>
    <row r="1948" spans="1:21" x14ac:dyDescent="0.3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  <c r="U1948">
        <f>IF(ChurnData[[#This Row],[churn]]="yes",1,0)</f>
        <v>0</v>
      </c>
    </row>
    <row r="1949" spans="1:21" x14ac:dyDescent="0.3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  <c r="U1949">
        <f>IF(ChurnData[[#This Row],[churn]]="yes",1,0)</f>
        <v>0</v>
      </c>
    </row>
    <row r="1950" spans="1:21" x14ac:dyDescent="0.3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  <c r="U1950">
        <f>IF(ChurnData[[#This Row],[churn]]="yes",1,0)</f>
        <v>0</v>
      </c>
    </row>
    <row r="1951" spans="1:21" x14ac:dyDescent="0.3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  <c r="U1951">
        <f>IF(ChurnData[[#This Row],[churn]]="yes",1,0)</f>
        <v>0</v>
      </c>
    </row>
    <row r="1952" spans="1:21" x14ac:dyDescent="0.3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  <c r="U1952">
        <f>IF(ChurnData[[#This Row],[churn]]="yes",1,0)</f>
        <v>1</v>
      </c>
    </row>
    <row r="1953" spans="1:21" x14ac:dyDescent="0.3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  <c r="U1953">
        <f>IF(ChurnData[[#This Row],[churn]]="yes",1,0)</f>
        <v>0</v>
      </c>
    </row>
    <row r="1954" spans="1:21" x14ac:dyDescent="0.3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  <c r="U1954">
        <f>IF(ChurnData[[#This Row],[churn]]="yes",1,0)</f>
        <v>0</v>
      </c>
    </row>
    <row r="1955" spans="1:21" x14ac:dyDescent="0.3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  <c r="U1955">
        <f>IF(ChurnData[[#This Row],[churn]]="yes",1,0)</f>
        <v>0</v>
      </c>
    </row>
    <row r="1956" spans="1:21" x14ac:dyDescent="0.3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  <c r="U1956">
        <f>IF(ChurnData[[#This Row],[churn]]="yes",1,0)</f>
        <v>0</v>
      </c>
    </row>
    <row r="1957" spans="1:21" x14ac:dyDescent="0.3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  <c r="U1957">
        <f>IF(ChurnData[[#This Row],[churn]]="yes",1,0)</f>
        <v>0</v>
      </c>
    </row>
    <row r="1958" spans="1:21" x14ac:dyDescent="0.3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  <c r="U1958">
        <f>IF(ChurnData[[#This Row],[churn]]="yes",1,0)</f>
        <v>0</v>
      </c>
    </row>
    <row r="1959" spans="1:21" x14ac:dyDescent="0.3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  <c r="U1959">
        <f>IF(ChurnData[[#This Row],[churn]]="yes",1,0)</f>
        <v>0</v>
      </c>
    </row>
    <row r="1960" spans="1:21" x14ac:dyDescent="0.3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  <c r="U1960">
        <f>IF(ChurnData[[#This Row],[churn]]="yes",1,0)</f>
        <v>0</v>
      </c>
    </row>
    <row r="1961" spans="1:21" x14ac:dyDescent="0.3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  <c r="U1961">
        <f>IF(ChurnData[[#This Row],[churn]]="yes",1,0)</f>
        <v>0</v>
      </c>
    </row>
    <row r="1962" spans="1:21" x14ac:dyDescent="0.3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  <c r="U1962">
        <f>IF(ChurnData[[#This Row],[churn]]="yes",1,0)</f>
        <v>0</v>
      </c>
    </row>
    <row r="1963" spans="1:21" x14ac:dyDescent="0.3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  <c r="U1963">
        <f>IF(ChurnData[[#This Row],[churn]]="yes",1,0)</f>
        <v>0</v>
      </c>
    </row>
    <row r="1964" spans="1:21" x14ac:dyDescent="0.3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  <c r="U1964">
        <f>IF(ChurnData[[#This Row],[churn]]="yes",1,0)</f>
        <v>0</v>
      </c>
    </row>
    <row r="1965" spans="1:21" x14ac:dyDescent="0.3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  <c r="U1965">
        <f>IF(ChurnData[[#This Row],[churn]]="yes",1,0)</f>
        <v>0</v>
      </c>
    </row>
    <row r="1966" spans="1:21" x14ac:dyDescent="0.3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  <c r="U1966">
        <f>IF(ChurnData[[#This Row],[churn]]="yes",1,0)</f>
        <v>0</v>
      </c>
    </row>
    <row r="1967" spans="1:21" x14ac:dyDescent="0.3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  <c r="U1967">
        <f>IF(ChurnData[[#This Row],[churn]]="yes",1,0)</f>
        <v>0</v>
      </c>
    </row>
    <row r="1968" spans="1:21" x14ac:dyDescent="0.3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  <c r="U1968">
        <f>IF(ChurnData[[#This Row],[churn]]="yes",1,0)</f>
        <v>0</v>
      </c>
    </row>
    <row r="1969" spans="1:21" x14ac:dyDescent="0.3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  <c r="U1969">
        <f>IF(ChurnData[[#This Row],[churn]]="yes",1,0)</f>
        <v>0</v>
      </c>
    </row>
    <row r="1970" spans="1:21" x14ac:dyDescent="0.3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  <c r="U1970">
        <f>IF(ChurnData[[#This Row],[churn]]="yes",1,0)</f>
        <v>0</v>
      </c>
    </row>
    <row r="1971" spans="1:21" x14ac:dyDescent="0.3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  <c r="U1971">
        <f>IF(ChurnData[[#This Row],[churn]]="yes",1,0)</f>
        <v>0</v>
      </c>
    </row>
    <row r="1972" spans="1:21" x14ac:dyDescent="0.3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  <c r="U1972">
        <f>IF(ChurnData[[#This Row],[churn]]="yes",1,0)</f>
        <v>0</v>
      </c>
    </row>
    <row r="1973" spans="1:21" x14ac:dyDescent="0.3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  <c r="U1973">
        <f>IF(ChurnData[[#This Row],[churn]]="yes",1,0)</f>
        <v>0</v>
      </c>
    </row>
    <row r="1974" spans="1:21" x14ac:dyDescent="0.3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  <c r="U1974">
        <f>IF(ChurnData[[#This Row],[churn]]="yes",1,0)</f>
        <v>0</v>
      </c>
    </row>
    <row r="1975" spans="1:21" x14ac:dyDescent="0.3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  <c r="U1975">
        <f>IF(ChurnData[[#This Row],[churn]]="yes",1,0)</f>
        <v>0</v>
      </c>
    </row>
    <row r="1976" spans="1:21" x14ac:dyDescent="0.3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  <c r="U1976">
        <f>IF(ChurnData[[#This Row],[churn]]="yes",1,0)</f>
        <v>0</v>
      </c>
    </row>
    <row r="1977" spans="1:21" x14ac:dyDescent="0.3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  <c r="U1977">
        <f>IF(ChurnData[[#This Row],[churn]]="yes",1,0)</f>
        <v>0</v>
      </c>
    </row>
    <row r="1978" spans="1:21" x14ac:dyDescent="0.3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  <c r="U1978">
        <f>IF(ChurnData[[#This Row],[churn]]="yes",1,0)</f>
        <v>1</v>
      </c>
    </row>
    <row r="1979" spans="1:21" x14ac:dyDescent="0.3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  <c r="U1979">
        <f>IF(ChurnData[[#This Row],[churn]]="yes",1,0)</f>
        <v>1</v>
      </c>
    </row>
    <row r="1980" spans="1:21" x14ac:dyDescent="0.3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  <c r="U1980">
        <f>IF(ChurnData[[#This Row],[churn]]="yes",1,0)</f>
        <v>0</v>
      </c>
    </row>
    <row r="1981" spans="1:21" x14ac:dyDescent="0.3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  <c r="U1981">
        <f>IF(ChurnData[[#This Row],[churn]]="yes",1,0)</f>
        <v>1</v>
      </c>
    </row>
    <row r="1982" spans="1:21" x14ac:dyDescent="0.3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  <c r="U1982">
        <f>IF(ChurnData[[#This Row],[churn]]="yes",1,0)</f>
        <v>0</v>
      </c>
    </row>
    <row r="1983" spans="1:21" x14ac:dyDescent="0.3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  <c r="U1983">
        <f>IF(ChurnData[[#This Row],[churn]]="yes",1,0)</f>
        <v>0</v>
      </c>
    </row>
    <row r="1984" spans="1:21" x14ac:dyDescent="0.3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  <c r="U1984">
        <f>IF(ChurnData[[#This Row],[churn]]="yes",1,0)</f>
        <v>0</v>
      </c>
    </row>
    <row r="1985" spans="1:21" x14ac:dyDescent="0.3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  <c r="U1985">
        <f>IF(ChurnData[[#This Row],[churn]]="yes",1,0)</f>
        <v>0</v>
      </c>
    </row>
    <row r="1986" spans="1:21" x14ac:dyDescent="0.3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  <c r="U1986">
        <f>IF(ChurnData[[#This Row],[churn]]="yes",1,0)</f>
        <v>1</v>
      </c>
    </row>
    <row r="1987" spans="1:21" x14ac:dyDescent="0.3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  <c r="U1987">
        <f>IF(ChurnData[[#This Row],[churn]]="yes",1,0)</f>
        <v>0</v>
      </c>
    </row>
    <row r="1988" spans="1:21" x14ac:dyDescent="0.3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  <c r="U1988">
        <f>IF(ChurnData[[#This Row],[churn]]="yes",1,0)</f>
        <v>0</v>
      </c>
    </row>
    <row r="1989" spans="1:21" x14ac:dyDescent="0.3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  <c r="U1989">
        <f>IF(ChurnData[[#This Row],[churn]]="yes",1,0)</f>
        <v>0</v>
      </c>
    </row>
    <row r="1990" spans="1:21" x14ac:dyDescent="0.3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  <c r="U1990">
        <f>IF(ChurnData[[#This Row],[churn]]="yes",1,0)</f>
        <v>0</v>
      </c>
    </row>
    <row r="1991" spans="1:21" x14ac:dyDescent="0.3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  <c r="U1991">
        <f>IF(ChurnData[[#This Row],[churn]]="yes",1,0)</f>
        <v>0</v>
      </c>
    </row>
    <row r="1992" spans="1:21" x14ac:dyDescent="0.3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  <c r="U1992">
        <f>IF(ChurnData[[#This Row],[churn]]="yes",1,0)</f>
        <v>0</v>
      </c>
    </row>
    <row r="1993" spans="1:21" x14ac:dyDescent="0.3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  <c r="U1993">
        <f>IF(ChurnData[[#This Row],[churn]]="yes",1,0)</f>
        <v>1</v>
      </c>
    </row>
    <row r="1994" spans="1:21" x14ac:dyDescent="0.3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  <c r="U1994">
        <f>IF(ChurnData[[#This Row],[churn]]="yes",1,0)</f>
        <v>0</v>
      </c>
    </row>
    <row r="1995" spans="1:21" x14ac:dyDescent="0.3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  <c r="U1995">
        <f>IF(ChurnData[[#This Row],[churn]]="yes",1,0)</f>
        <v>0</v>
      </c>
    </row>
    <row r="1996" spans="1:21" x14ac:dyDescent="0.3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  <c r="U1996">
        <f>IF(ChurnData[[#This Row],[churn]]="yes",1,0)</f>
        <v>0</v>
      </c>
    </row>
    <row r="1997" spans="1:21" x14ac:dyDescent="0.3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  <c r="U1997">
        <f>IF(ChurnData[[#This Row],[churn]]="yes",1,0)</f>
        <v>1</v>
      </c>
    </row>
    <row r="1998" spans="1:21" x14ac:dyDescent="0.3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  <c r="U1998">
        <f>IF(ChurnData[[#This Row],[churn]]="yes",1,0)</f>
        <v>0</v>
      </c>
    </row>
    <row r="1999" spans="1:21" x14ac:dyDescent="0.3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  <c r="U1999">
        <f>IF(ChurnData[[#This Row],[churn]]="yes",1,0)</f>
        <v>0</v>
      </c>
    </row>
    <row r="2000" spans="1:21" x14ac:dyDescent="0.3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  <c r="U2000">
        <f>IF(ChurnData[[#This Row],[churn]]="yes",1,0)</f>
        <v>0</v>
      </c>
    </row>
    <row r="2001" spans="1:21" x14ac:dyDescent="0.3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  <c r="U2001">
        <f>IF(ChurnData[[#This Row],[churn]]="yes",1,0)</f>
        <v>0</v>
      </c>
    </row>
    <row r="2002" spans="1:21" x14ac:dyDescent="0.3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  <c r="U2002">
        <f>IF(ChurnData[[#This Row],[churn]]="yes",1,0)</f>
        <v>1</v>
      </c>
    </row>
    <row r="2003" spans="1:21" x14ac:dyDescent="0.3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  <c r="U2003">
        <f>IF(ChurnData[[#This Row],[churn]]="yes",1,0)</f>
        <v>0</v>
      </c>
    </row>
    <row r="2004" spans="1:21" x14ac:dyDescent="0.3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  <c r="U2004">
        <f>IF(ChurnData[[#This Row],[churn]]="yes",1,0)</f>
        <v>1</v>
      </c>
    </row>
    <row r="2005" spans="1:21" x14ac:dyDescent="0.3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  <c r="U2005">
        <f>IF(ChurnData[[#This Row],[churn]]="yes",1,0)</f>
        <v>0</v>
      </c>
    </row>
    <row r="2006" spans="1:21" x14ac:dyDescent="0.3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  <c r="U2006">
        <f>IF(ChurnData[[#This Row],[churn]]="yes",1,0)</f>
        <v>0</v>
      </c>
    </row>
    <row r="2007" spans="1:21" x14ac:dyDescent="0.3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  <c r="U2007">
        <f>IF(ChurnData[[#This Row],[churn]]="yes",1,0)</f>
        <v>0</v>
      </c>
    </row>
    <row r="2008" spans="1:21" x14ac:dyDescent="0.3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  <c r="U2008">
        <f>IF(ChurnData[[#This Row],[churn]]="yes",1,0)</f>
        <v>0</v>
      </c>
    </row>
    <row r="2009" spans="1:21" x14ac:dyDescent="0.3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  <c r="U2009">
        <f>IF(ChurnData[[#This Row],[churn]]="yes",1,0)</f>
        <v>0</v>
      </c>
    </row>
    <row r="2010" spans="1:21" x14ac:dyDescent="0.3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  <c r="U2010">
        <f>IF(ChurnData[[#This Row],[churn]]="yes",1,0)</f>
        <v>0</v>
      </c>
    </row>
    <row r="2011" spans="1:21" x14ac:dyDescent="0.3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  <c r="U2011">
        <f>IF(ChurnData[[#This Row],[churn]]="yes",1,0)</f>
        <v>0</v>
      </c>
    </row>
    <row r="2012" spans="1:21" x14ac:dyDescent="0.3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  <c r="U2012">
        <f>IF(ChurnData[[#This Row],[churn]]="yes",1,0)</f>
        <v>0</v>
      </c>
    </row>
    <row r="2013" spans="1:21" x14ac:dyDescent="0.3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  <c r="U2013">
        <f>IF(ChurnData[[#This Row],[churn]]="yes",1,0)</f>
        <v>0</v>
      </c>
    </row>
    <row r="2014" spans="1:21" x14ac:dyDescent="0.3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  <c r="U2014">
        <f>IF(ChurnData[[#This Row],[churn]]="yes",1,0)</f>
        <v>0</v>
      </c>
    </row>
    <row r="2015" spans="1:21" x14ac:dyDescent="0.3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  <c r="U2015">
        <f>IF(ChurnData[[#This Row],[churn]]="yes",1,0)</f>
        <v>0</v>
      </c>
    </row>
    <row r="2016" spans="1:21" x14ac:dyDescent="0.3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  <c r="U2016">
        <f>IF(ChurnData[[#This Row],[churn]]="yes",1,0)</f>
        <v>0</v>
      </c>
    </row>
    <row r="2017" spans="1:21" x14ac:dyDescent="0.3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  <c r="U2017">
        <f>IF(ChurnData[[#This Row],[churn]]="yes",1,0)</f>
        <v>0</v>
      </c>
    </row>
    <row r="2018" spans="1:21" x14ac:dyDescent="0.3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  <c r="U2018">
        <f>IF(ChurnData[[#This Row],[churn]]="yes",1,0)</f>
        <v>0</v>
      </c>
    </row>
    <row r="2019" spans="1:21" x14ac:dyDescent="0.3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  <c r="U2019">
        <f>IF(ChurnData[[#This Row],[churn]]="yes",1,0)</f>
        <v>0</v>
      </c>
    </row>
    <row r="2020" spans="1:21" x14ac:dyDescent="0.3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  <c r="U2020">
        <f>IF(ChurnData[[#This Row],[churn]]="yes",1,0)</f>
        <v>0</v>
      </c>
    </row>
    <row r="2021" spans="1:21" x14ac:dyDescent="0.3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  <c r="U2021">
        <f>IF(ChurnData[[#This Row],[churn]]="yes",1,0)</f>
        <v>0</v>
      </c>
    </row>
    <row r="2022" spans="1:21" x14ac:dyDescent="0.3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  <c r="U2022">
        <f>IF(ChurnData[[#This Row],[churn]]="yes",1,0)</f>
        <v>1</v>
      </c>
    </row>
    <row r="2023" spans="1:21" x14ac:dyDescent="0.3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  <c r="U2023">
        <f>IF(ChurnData[[#This Row],[churn]]="yes",1,0)</f>
        <v>0</v>
      </c>
    </row>
    <row r="2024" spans="1:21" x14ac:dyDescent="0.3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  <c r="U2024">
        <f>IF(ChurnData[[#This Row],[churn]]="yes",1,0)</f>
        <v>0</v>
      </c>
    </row>
    <row r="2025" spans="1:21" x14ac:dyDescent="0.3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  <c r="U2025">
        <f>IF(ChurnData[[#This Row],[churn]]="yes",1,0)</f>
        <v>1</v>
      </c>
    </row>
    <row r="2026" spans="1:21" x14ac:dyDescent="0.3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  <c r="U2026">
        <f>IF(ChurnData[[#This Row],[churn]]="yes",1,0)</f>
        <v>0</v>
      </c>
    </row>
    <row r="2027" spans="1:21" x14ac:dyDescent="0.3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  <c r="U2027">
        <f>IF(ChurnData[[#This Row],[churn]]="yes",1,0)</f>
        <v>0</v>
      </c>
    </row>
    <row r="2028" spans="1:21" x14ac:dyDescent="0.3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  <c r="U2028">
        <f>IF(ChurnData[[#This Row],[churn]]="yes",1,0)</f>
        <v>0</v>
      </c>
    </row>
    <row r="2029" spans="1:21" x14ac:dyDescent="0.3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  <c r="U2029">
        <f>IF(ChurnData[[#This Row],[churn]]="yes",1,0)</f>
        <v>0</v>
      </c>
    </row>
    <row r="2030" spans="1:21" x14ac:dyDescent="0.3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  <c r="U2030">
        <f>IF(ChurnData[[#This Row],[churn]]="yes",1,0)</f>
        <v>0</v>
      </c>
    </row>
    <row r="2031" spans="1:21" x14ac:dyDescent="0.3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  <c r="U2031">
        <f>IF(ChurnData[[#This Row],[churn]]="yes",1,0)</f>
        <v>1</v>
      </c>
    </row>
    <row r="2032" spans="1:21" x14ac:dyDescent="0.3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  <c r="U2032">
        <f>IF(ChurnData[[#This Row],[churn]]="yes",1,0)</f>
        <v>1</v>
      </c>
    </row>
    <row r="2033" spans="1:21" x14ac:dyDescent="0.3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  <c r="U2033">
        <f>IF(ChurnData[[#This Row],[churn]]="yes",1,0)</f>
        <v>0</v>
      </c>
    </row>
    <row r="2034" spans="1:21" x14ac:dyDescent="0.3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  <c r="U2034">
        <f>IF(ChurnData[[#This Row],[churn]]="yes",1,0)</f>
        <v>0</v>
      </c>
    </row>
    <row r="2035" spans="1:21" x14ac:dyDescent="0.3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  <c r="U2035">
        <f>IF(ChurnData[[#This Row],[churn]]="yes",1,0)</f>
        <v>0</v>
      </c>
    </row>
    <row r="2036" spans="1:21" x14ac:dyDescent="0.3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  <c r="U2036">
        <f>IF(ChurnData[[#This Row],[churn]]="yes",1,0)</f>
        <v>0</v>
      </c>
    </row>
    <row r="2037" spans="1:21" x14ac:dyDescent="0.3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  <c r="U2037">
        <f>IF(ChurnData[[#This Row],[churn]]="yes",1,0)</f>
        <v>0</v>
      </c>
    </row>
    <row r="2038" spans="1:21" x14ac:dyDescent="0.3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  <c r="U2038">
        <f>IF(ChurnData[[#This Row],[churn]]="yes",1,0)</f>
        <v>0</v>
      </c>
    </row>
    <row r="2039" spans="1:21" x14ac:dyDescent="0.3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  <c r="U2039">
        <f>IF(ChurnData[[#This Row],[churn]]="yes",1,0)</f>
        <v>0</v>
      </c>
    </row>
    <row r="2040" spans="1:21" x14ac:dyDescent="0.3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  <c r="U2040">
        <f>IF(ChurnData[[#This Row],[churn]]="yes",1,0)</f>
        <v>0</v>
      </c>
    </row>
    <row r="2041" spans="1:21" x14ac:dyDescent="0.3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  <c r="U2041">
        <f>IF(ChurnData[[#This Row],[churn]]="yes",1,0)</f>
        <v>0</v>
      </c>
    </row>
    <row r="2042" spans="1:21" x14ac:dyDescent="0.3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  <c r="U2042">
        <f>IF(ChurnData[[#This Row],[churn]]="yes",1,0)</f>
        <v>1</v>
      </c>
    </row>
    <row r="2043" spans="1:21" x14ac:dyDescent="0.3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  <c r="U2043">
        <f>IF(ChurnData[[#This Row],[churn]]="yes",1,0)</f>
        <v>1</v>
      </c>
    </row>
    <row r="2044" spans="1:21" x14ac:dyDescent="0.3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  <c r="U2044">
        <f>IF(ChurnData[[#This Row],[churn]]="yes",1,0)</f>
        <v>0</v>
      </c>
    </row>
    <row r="2045" spans="1:21" x14ac:dyDescent="0.3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  <c r="U2045">
        <f>IF(ChurnData[[#This Row],[churn]]="yes",1,0)</f>
        <v>0</v>
      </c>
    </row>
    <row r="2046" spans="1:21" x14ac:dyDescent="0.3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  <c r="U2046">
        <f>IF(ChurnData[[#This Row],[churn]]="yes",1,0)</f>
        <v>1</v>
      </c>
    </row>
    <row r="2047" spans="1:21" x14ac:dyDescent="0.3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  <c r="U2047">
        <f>IF(ChurnData[[#This Row],[churn]]="yes",1,0)</f>
        <v>0</v>
      </c>
    </row>
    <row r="2048" spans="1:21" x14ac:dyDescent="0.3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  <c r="U2048">
        <f>IF(ChurnData[[#This Row],[churn]]="yes",1,0)</f>
        <v>1</v>
      </c>
    </row>
    <row r="2049" spans="1:21" x14ac:dyDescent="0.3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  <c r="U2049">
        <f>IF(ChurnData[[#This Row],[churn]]="yes",1,0)</f>
        <v>0</v>
      </c>
    </row>
    <row r="2050" spans="1:21" x14ac:dyDescent="0.3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  <c r="U2050">
        <f>IF(ChurnData[[#This Row],[churn]]="yes",1,0)</f>
        <v>0</v>
      </c>
    </row>
    <row r="2051" spans="1:21" x14ac:dyDescent="0.3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  <c r="U2051">
        <f>IF(ChurnData[[#This Row],[churn]]="yes",1,0)</f>
        <v>0</v>
      </c>
    </row>
    <row r="2052" spans="1:21" x14ac:dyDescent="0.3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  <c r="U2052">
        <f>IF(ChurnData[[#This Row],[churn]]="yes",1,0)</f>
        <v>0</v>
      </c>
    </row>
    <row r="2053" spans="1:21" x14ac:dyDescent="0.3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  <c r="U2053">
        <f>IF(ChurnData[[#This Row],[churn]]="yes",1,0)</f>
        <v>1</v>
      </c>
    </row>
    <row r="2054" spans="1:21" x14ac:dyDescent="0.3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  <c r="U2054">
        <f>IF(ChurnData[[#This Row],[churn]]="yes",1,0)</f>
        <v>0</v>
      </c>
    </row>
    <row r="2055" spans="1:21" x14ac:dyDescent="0.3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  <c r="U2055">
        <f>IF(ChurnData[[#This Row],[churn]]="yes",1,0)</f>
        <v>0</v>
      </c>
    </row>
    <row r="2056" spans="1:21" x14ac:dyDescent="0.3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  <c r="U2056">
        <f>IF(ChurnData[[#This Row],[churn]]="yes",1,0)</f>
        <v>1</v>
      </c>
    </row>
    <row r="2057" spans="1:21" x14ac:dyDescent="0.3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  <c r="U2057">
        <f>IF(ChurnData[[#This Row],[churn]]="yes",1,0)</f>
        <v>0</v>
      </c>
    </row>
    <row r="2058" spans="1:21" x14ac:dyDescent="0.3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  <c r="U2058">
        <f>IF(ChurnData[[#This Row],[churn]]="yes",1,0)</f>
        <v>0</v>
      </c>
    </row>
    <row r="2059" spans="1:21" x14ac:dyDescent="0.3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  <c r="U2059">
        <f>IF(ChurnData[[#This Row],[churn]]="yes",1,0)</f>
        <v>0</v>
      </c>
    </row>
    <row r="2060" spans="1:21" x14ac:dyDescent="0.3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  <c r="U2060">
        <f>IF(ChurnData[[#This Row],[churn]]="yes",1,0)</f>
        <v>1</v>
      </c>
    </row>
    <row r="2061" spans="1:21" x14ac:dyDescent="0.3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  <c r="U2061">
        <f>IF(ChurnData[[#This Row],[churn]]="yes",1,0)</f>
        <v>0</v>
      </c>
    </row>
    <row r="2062" spans="1:21" x14ac:dyDescent="0.3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  <c r="U2062">
        <f>IF(ChurnData[[#This Row],[churn]]="yes",1,0)</f>
        <v>0</v>
      </c>
    </row>
    <row r="2063" spans="1:21" x14ac:dyDescent="0.3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  <c r="U2063">
        <f>IF(ChurnData[[#This Row],[churn]]="yes",1,0)</f>
        <v>0</v>
      </c>
    </row>
    <row r="2064" spans="1:21" x14ac:dyDescent="0.3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  <c r="U2064">
        <f>IF(ChurnData[[#This Row],[churn]]="yes",1,0)</f>
        <v>0</v>
      </c>
    </row>
    <row r="2065" spans="1:21" x14ac:dyDescent="0.3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  <c r="U2065">
        <f>IF(ChurnData[[#This Row],[churn]]="yes",1,0)</f>
        <v>0</v>
      </c>
    </row>
    <row r="2066" spans="1:21" x14ac:dyDescent="0.3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  <c r="U2066">
        <f>IF(ChurnData[[#This Row],[churn]]="yes",1,0)</f>
        <v>1</v>
      </c>
    </row>
    <row r="2067" spans="1:21" x14ac:dyDescent="0.3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  <c r="U2067">
        <f>IF(ChurnData[[#This Row],[churn]]="yes",1,0)</f>
        <v>0</v>
      </c>
    </row>
    <row r="2068" spans="1:21" x14ac:dyDescent="0.3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  <c r="U2068">
        <f>IF(ChurnData[[#This Row],[churn]]="yes",1,0)</f>
        <v>0</v>
      </c>
    </row>
    <row r="2069" spans="1:21" x14ac:dyDescent="0.3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  <c r="U2069">
        <f>IF(ChurnData[[#This Row],[churn]]="yes",1,0)</f>
        <v>0</v>
      </c>
    </row>
    <row r="2070" spans="1:21" x14ac:dyDescent="0.3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  <c r="U2070">
        <f>IF(ChurnData[[#This Row],[churn]]="yes",1,0)</f>
        <v>1</v>
      </c>
    </row>
    <row r="2071" spans="1:21" x14ac:dyDescent="0.3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  <c r="U2071">
        <f>IF(ChurnData[[#This Row],[churn]]="yes",1,0)</f>
        <v>0</v>
      </c>
    </row>
    <row r="2072" spans="1:21" x14ac:dyDescent="0.3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  <c r="U2072">
        <f>IF(ChurnData[[#This Row],[churn]]="yes",1,0)</f>
        <v>0</v>
      </c>
    </row>
    <row r="2073" spans="1:21" x14ac:dyDescent="0.3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  <c r="U2073">
        <f>IF(ChurnData[[#This Row],[churn]]="yes",1,0)</f>
        <v>0</v>
      </c>
    </row>
    <row r="2074" spans="1:21" x14ac:dyDescent="0.3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  <c r="U2074">
        <f>IF(ChurnData[[#This Row],[churn]]="yes",1,0)</f>
        <v>1</v>
      </c>
    </row>
    <row r="2075" spans="1:21" x14ac:dyDescent="0.3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  <c r="U2075">
        <f>IF(ChurnData[[#This Row],[churn]]="yes",1,0)</f>
        <v>0</v>
      </c>
    </row>
    <row r="2076" spans="1:21" x14ac:dyDescent="0.3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  <c r="U2076">
        <f>IF(ChurnData[[#This Row],[churn]]="yes",1,0)</f>
        <v>0</v>
      </c>
    </row>
    <row r="2077" spans="1:21" x14ac:dyDescent="0.3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  <c r="U2077">
        <f>IF(ChurnData[[#This Row],[churn]]="yes",1,0)</f>
        <v>0</v>
      </c>
    </row>
    <row r="2078" spans="1:21" x14ac:dyDescent="0.3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  <c r="U2078">
        <f>IF(ChurnData[[#This Row],[churn]]="yes",1,0)</f>
        <v>0</v>
      </c>
    </row>
    <row r="2079" spans="1:21" x14ac:dyDescent="0.3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  <c r="U2079">
        <f>IF(ChurnData[[#This Row],[churn]]="yes",1,0)</f>
        <v>0</v>
      </c>
    </row>
    <row r="2080" spans="1:21" x14ac:dyDescent="0.3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  <c r="U2080">
        <f>IF(ChurnData[[#This Row],[churn]]="yes",1,0)</f>
        <v>0</v>
      </c>
    </row>
    <row r="2081" spans="1:21" x14ac:dyDescent="0.3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  <c r="U2081">
        <f>IF(ChurnData[[#This Row],[churn]]="yes",1,0)</f>
        <v>0</v>
      </c>
    </row>
    <row r="2082" spans="1:21" x14ac:dyDescent="0.3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  <c r="U2082">
        <f>IF(ChurnData[[#This Row],[churn]]="yes",1,0)</f>
        <v>0</v>
      </c>
    </row>
    <row r="2083" spans="1:21" x14ac:dyDescent="0.3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  <c r="U2083">
        <f>IF(ChurnData[[#This Row],[churn]]="yes",1,0)</f>
        <v>0</v>
      </c>
    </row>
    <row r="2084" spans="1:21" x14ac:dyDescent="0.3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  <c r="U2084">
        <f>IF(ChurnData[[#This Row],[churn]]="yes",1,0)</f>
        <v>0</v>
      </c>
    </row>
    <row r="2085" spans="1:21" x14ac:dyDescent="0.3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  <c r="U2085">
        <f>IF(ChurnData[[#This Row],[churn]]="yes",1,0)</f>
        <v>0</v>
      </c>
    </row>
    <row r="2086" spans="1:21" x14ac:dyDescent="0.3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  <c r="U2086">
        <f>IF(ChurnData[[#This Row],[churn]]="yes",1,0)</f>
        <v>0</v>
      </c>
    </row>
    <row r="2087" spans="1:21" x14ac:dyDescent="0.3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  <c r="U2087">
        <f>IF(ChurnData[[#This Row],[churn]]="yes",1,0)</f>
        <v>0</v>
      </c>
    </row>
    <row r="2088" spans="1:21" x14ac:dyDescent="0.3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  <c r="U2088">
        <f>IF(ChurnData[[#This Row],[churn]]="yes",1,0)</f>
        <v>0</v>
      </c>
    </row>
    <row r="2089" spans="1:21" x14ac:dyDescent="0.3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  <c r="U2089">
        <f>IF(ChurnData[[#This Row],[churn]]="yes",1,0)</f>
        <v>0</v>
      </c>
    </row>
    <row r="2090" spans="1:21" x14ac:dyDescent="0.3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  <c r="U2090">
        <f>IF(ChurnData[[#This Row],[churn]]="yes",1,0)</f>
        <v>0</v>
      </c>
    </row>
    <row r="2091" spans="1:21" x14ac:dyDescent="0.3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  <c r="U2091">
        <f>IF(ChurnData[[#This Row],[churn]]="yes",1,0)</f>
        <v>0</v>
      </c>
    </row>
    <row r="2092" spans="1:21" x14ac:dyDescent="0.3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  <c r="U2092">
        <f>IF(ChurnData[[#This Row],[churn]]="yes",1,0)</f>
        <v>0</v>
      </c>
    </row>
    <row r="2093" spans="1:21" x14ac:dyDescent="0.3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  <c r="U2093">
        <f>IF(ChurnData[[#This Row],[churn]]="yes",1,0)</f>
        <v>0</v>
      </c>
    </row>
    <row r="2094" spans="1:21" x14ac:dyDescent="0.3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  <c r="U2094">
        <f>IF(ChurnData[[#This Row],[churn]]="yes",1,0)</f>
        <v>0</v>
      </c>
    </row>
    <row r="2095" spans="1:21" x14ac:dyDescent="0.3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  <c r="U2095">
        <f>IF(ChurnData[[#This Row],[churn]]="yes",1,0)</f>
        <v>0</v>
      </c>
    </row>
    <row r="2096" spans="1:21" x14ac:dyDescent="0.3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  <c r="U2096">
        <f>IF(ChurnData[[#This Row],[churn]]="yes",1,0)</f>
        <v>0</v>
      </c>
    </row>
    <row r="2097" spans="1:21" x14ac:dyDescent="0.3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  <c r="U2097">
        <f>IF(ChurnData[[#This Row],[churn]]="yes",1,0)</f>
        <v>0</v>
      </c>
    </row>
    <row r="2098" spans="1:21" x14ac:dyDescent="0.3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  <c r="U2098">
        <f>IF(ChurnData[[#This Row],[churn]]="yes",1,0)</f>
        <v>0</v>
      </c>
    </row>
    <row r="2099" spans="1:21" x14ac:dyDescent="0.3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  <c r="U2099">
        <f>IF(ChurnData[[#This Row],[churn]]="yes",1,0)</f>
        <v>0</v>
      </c>
    </row>
    <row r="2100" spans="1:21" x14ac:dyDescent="0.3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  <c r="U2100">
        <f>IF(ChurnData[[#This Row],[churn]]="yes",1,0)</f>
        <v>0</v>
      </c>
    </row>
    <row r="2101" spans="1:21" x14ac:dyDescent="0.3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  <c r="U2101">
        <f>IF(ChurnData[[#This Row],[churn]]="yes",1,0)</f>
        <v>0</v>
      </c>
    </row>
    <row r="2102" spans="1:21" x14ac:dyDescent="0.3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  <c r="U2102">
        <f>IF(ChurnData[[#This Row],[churn]]="yes",1,0)</f>
        <v>0</v>
      </c>
    </row>
    <row r="2103" spans="1:21" x14ac:dyDescent="0.3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  <c r="U2103">
        <f>IF(ChurnData[[#This Row],[churn]]="yes",1,0)</f>
        <v>0</v>
      </c>
    </row>
    <row r="2104" spans="1:21" x14ac:dyDescent="0.3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  <c r="U2104">
        <f>IF(ChurnData[[#This Row],[churn]]="yes",1,0)</f>
        <v>0</v>
      </c>
    </row>
    <row r="2105" spans="1:21" x14ac:dyDescent="0.3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  <c r="U2105">
        <f>IF(ChurnData[[#This Row],[churn]]="yes",1,0)</f>
        <v>1</v>
      </c>
    </row>
    <row r="2106" spans="1:21" x14ac:dyDescent="0.3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  <c r="U2106">
        <f>IF(ChurnData[[#This Row],[churn]]="yes",1,0)</f>
        <v>0</v>
      </c>
    </row>
    <row r="2107" spans="1:21" x14ac:dyDescent="0.3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  <c r="U2107">
        <f>IF(ChurnData[[#This Row],[churn]]="yes",1,0)</f>
        <v>0</v>
      </c>
    </row>
    <row r="2108" spans="1:21" x14ac:dyDescent="0.3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  <c r="U2108">
        <f>IF(ChurnData[[#This Row],[churn]]="yes",1,0)</f>
        <v>0</v>
      </c>
    </row>
    <row r="2109" spans="1:21" x14ac:dyDescent="0.3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  <c r="U2109">
        <f>IF(ChurnData[[#This Row],[churn]]="yes",1,0)</f>
        <v>0</v>
      </c>
    </row>
    <row r="2110" spans="1:21" x14ac:dyDescent="0.3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  <c r="U2110">
        <f>IF(ChurnData[[#This Row],[churn]]="yes",1,0)</f>
        <v>0</v>
      </c>
    </row>
    <row r="2111" spans="1:21" x14ac:dyDescent="0.3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  <c r="U2111">
        <f>IF(ChurnData[[#This Row],[churn]]="yes",1,0)</f>
        <v>0</v>
      </c>
    </row>
    <row r="2112" spans="1:21" x14ac:dyDescent="0.3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  <c r="U2112">
        <f>IF(ChurnData[[#This Row],[churn]]="yes",1,0)</f>
        <v>0</v>
      </c>
    </row>
    <row r="2113" spans="1:21" x14ac:dyDescent="0.3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  <c r="U2113">
        <f>IF(ChurnData[[#This Row],[churn]]="yes",1,0)</f>
        <v>0</v>
      </c>
    </row>
    <row r="2114" spans="1:21" x14ac:dyDescent="0.3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  <c r="U2114">
        <f>IF(ChurnData[[#This Row],[churn]]="yes",1,0)</f>
        <v>0</v>
      </c>
    </row>
    <row r="2115" spans="1:21" x14ac:dyDescent="0.3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  <c r="U2115">
        <f>IF(ChurnData[[#This Row],[churn]]="yes",1,0)</f>
        <v>0</v>
      </c>
    </row>
    <row r="2116" spans="1:21" x14ac:dyDescent="0.3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  <c r="U2116">
        <f>IF(ChurnData[[#This Row],[churn]]="yes",1,0)</f>
        <v>0</v>
      </c>
    </row>
    <row r="2117" spans="1:21" x14ac:dyDescent="0.3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  <c r="U2117">
        <f>IF(ChurnData[[#This Row],[churn]]="yes",1,0)</f>
        <v>0</v>
      </c>
    </row>
    <row r="2118" spans="1:21" x14ac:dyDescent="0.3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  <c r="U2118">
        <f>IF(ChurnData[[#This Row],[churn]]="yes",1,0)</f>
        <v>0</v>
      </c>
    </row>
    <row r="2119" spans="1:21" x14ac:dyDescent="0.3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  <c r="U2119">
        <f>IF(ChurnData[[#This Row],[churn]]="yes",1,0)</f>
        <v>1</v>
      </c>
    </row>
    <row r="2120" spans="1:21" x14ac:dyDescent="0.3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  <c r="U2120">
        <f>IF(ChurnData[[#This Row],[churn]]="yes",1,0)</f>
        <v>0</v>
      </c>
    </row>
    <row r="2121" spans="1:21" x14ac:dyDescent="0.3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  <c r="U2121">
        <f>IF(ChurnData[[#This Row],[churn]]="yes",1,0)</f>
        <v>0</v>
      </c>
    </row>
    <row r="2122" spans="1:21" x14ac:dyDescent="0.3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  <c r="U2122">
        <f>IF(ChurnData[[#This Row],[churn]]="yes",1,0)</f>
        <v>1</v>
      </c>
    </row>
    <row r="2123" spans="1:21" x14ac:dyDescent="0.3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  <c r="U2123">
        <f>IF(ChurnData[[#This Row],[churn]]="yes",1,0)</f>
        <v>0</v>
      </c>
    </row>
    <row r="2124" spans="1:21" x14ac:dyDescent="0.3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  <c r="U2124">
        <f>IF(ChurnData[[#This Row],[churn]]="yes",1,0)</f>
        <v>0</v>
      </c>
    </row>
    <row r="2125" spans="1:21" x14ac:dyDescent="0.3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  <c r="U2125">
        <f>IF(ChurnData[[#This Row],[churn]]="yes",1,0)</f>
        <v>0</v>
      </c>
    </row>
    <row r="2126" spans="1:21" x14ac:dyDescent="0.3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  <c r="U2126">
        <f>IF(ChurnData[[#This Row],[churn]]="yes",1,0)</f>
        <v>0</v>
      </c>
    </row>
    <row r="2127" spans="1:21" x14ac:dyDescent="0.3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  <c r="U2127">
        <f>IF(ChurnData[[#This Row],[churn]]="yes",1,0)</f>
        <v>0</v>
      </c>
    </row>
    <row r="2128" spans="1:21" x14ac:dyDescent="0.3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  <c r="U2128">
        <f>IF(ChurnData[[#This Row],[churn]]="yes",1,0)</f>
        <v>0</v>
      </c>
    </row>
    <row r="2129" spans="1:21" x14ac:dyDescent="0.3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  <c r="U2129">
        <f>IF(ChurnData[[#This Row],[churn]]="yes",1,0)</f>
        <v>0</v>
      </c>
    </row>
    <row r="2130" spans="1:21" x14ac:dyDescent="0.3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  <c r="U2130">
        <f>IF(ChurnData[[#This Row],[churn]]="yes",1,0)</f>
        <v>0</v>
      </c>
    </row>
    <row r="2131" spans="1:21" x14ac:dyDescent="0.3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  <c r="U2131">
        <f>IF(ChurnData[[#This Row],[churn]]="yes",1,0)</f>
        <v>0</v>
      </c>
    </row>
    <row r="2132" spans="1:21" x14ac:dyDescent="0.3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  <c r="U2132">
        <f>IF(ChurnData[[#This Row],[churn]]="yes",1,0)</f>
        <v>0</v>
      </c>
    </row>
    <row r="2133" spans="1:21" x14ac:dyDescent="0.3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  <c r="U2133">
        <f>IF(ChurnData[[#This Row],[churn]]="yes",1,0)</f>
        <v>0</v>
      </c>
    </row>
    <row r="2134" spans="1:21" x14ac:dyDescent="0.3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  <c r="U2134">
        <f>IF(ChurnData[[#This Row],[churn]]="yes",1,0)</f>
        <v>0</v>
      </c>
    </row>
    <row r="2135" spans="1:21" x14ac:dyDescent="0.3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  <c r="U2135">
        <f>IF(ChurnData[[#This Row],[churn]]="yes",1,0)</f>
        <v>0</v>
      </c>
    </row>
    <row r="2136" spans="1:21" x14ac:dyDescent="0.3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  <c r="U2136">
        <f>IF(ChurnData[[#This Row],[churn]]="yes",1,0)</f>
        <v>0</v>
      </c>
    </row>
    <row r="2137" spans="1:21" x14ac:dyDescent="0.3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  <c r="U2137">
        <f>IF(ChurnData[[#This Row],[churn]]="yes",1,0)</f>
        <v>0</v>
      </c>
    </row>
    <row r="2138" spans="1:21" x14ac:dyDescent="0.3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  <c r="U2138">
        <f>IF(ChurnData[[#This Row],[churn]]="yes",1,0)</f>
        <v>0</v>
      </c>
    </row>
    <row r="2139" spans="1:21" x14ac:dyDescent="0.3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  <c r="U2139">
        <f>IF(ChurnData[[#This Row],[churn]]="yes",1,0)</f>
        <v>0</v>
      </c>
    </row>
    <row r="2140" spans="1:21" x14ac:dyDescent="0.3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  <c r="U2140">
        <f>IF(ChurnData[[#This Row],[churn]]="yes",1,0)</f>
        <v>1</v>
      </c>
    </row>
    <row r="2141" spans="1:21" x14ac:dyDescent="0.3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  <c r="U2141">
        <f>IF(ChurnData[[#This Row],[churn]]="yes",1,0)</f>
        <v>0</v>
      </c>
    </row>
    <row r="2142" spans="1:21" x14ac:dyDescent="0.3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  <c r="U2142">
        <f>IF(ChurnData[[#This Row],[churn]]="yes",1,0)</f>
        <v>0</v>
      </c>
    </row>
    <row r="2143" spans="1:21" x14ac:dyDescent="0.3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  <c r="U2143">
        <f>IF(ChurnData[[#This Row],[churn]]="yes",1,0)</f>
        <v>0</v>
      </c>
    </row>
    <row r="2144" spans="1:21" x14ac:dyDescent="0.3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  <c r="U2144">
        <f>IF(ChurnData[[#This Row],[churn]]="yes",1,0)</f>
        <v>0</v>
      </c>
    </row>
    <row r="2145" spans="1:21" x14ac:dyDescent="0.3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  <c r="U2145">
        <f>IF(ChurnData[[#This Row],[churn]]="yes",1,0)</f>
        <v>0</v>
      </c>
    </row>
    <row r="2146" spans="1:21" x14ac:dyDescent="0.3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  <c r="U2146">
        <f>IF(ChurnData[[#This Row],[churn]]="yes",1,0)</f>
        <v>0</v>
      </c>
    </row>
    <row r="2147" spans="1:21" x14ac:dyDescent="0.3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  <c r="U2147">
        <f>IF(ChurnData[[#This Row],[churn]]="yes",1,0)</f>
        <v>0</v>
      </c>
    </row>
    <row r="2148" spans="1:21" x14ac:dyDescent="0.3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  <c r="U2148">
        <f>IF(ChurnData[[#This Row],[churn]]="yes",1,0)</f>
        <v>0</v>
      </c>
    </row>
    <row r="2149" spans="1:21" x14ac:dyDescent="0.3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  <c r="U2149">
        <f>IF(ChurnData[[#This Row],[churn]]="yes",1,0)</f>
        <v>0</v>
      </c>
    </row>
    <row r="2150" spans="1:21" x14ac:dyDescent="0.3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  <c r="U2150">
        <f>IF(ChurnData[[#This Row],[churn]]="yes",1,0)</f>
        <v>0</v>
      </c>
    </row>
    <row r="2151" spans="1:21" x14ac:dyDescent="0.3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  <c r="U2151">
        <f>IF(ChurnData[[#This Row],[churn]]="yes",1,0)</f>
        <v>1</v>
      </c>
    </row>
    <row r="2152" spans="1:21" x14ac:dyDescent="0.3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  <c r="U2152">
        <f>IF(ChurnData[[#This Row],[churn]]="yes",1,0)</f>
        <v>0</v>
      </c>
    </row>
    <row r="2153" spans="1:21" x14ac:dyDescent="0.3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  <c r="U2153">
        <f>IF(ChurnData[[#This Row],[churn]]="yes",1,0)</f>
        <v>0</v>
      </c>
    </row>
    <row r="2154" spans="1:21" x14ac:dyDescent="0.3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  <c r="U2154">
        <f>IF(ChurnData[[#This Row],[churn]]="yes",1,0)</f>
        <v>0</v>
      </c>
    </row>
    <row r="2155" spans="1:21" x14ac:dyDescent="0.3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  <c r="U2155">
        <f>IF(ChurnData[[#This Row],[churn]]="yes",1,0)</f>
        <v>1</v>
      </c>
    </row>
    <row r="2156" spans="1:21" x14ac:dyDescent="0.3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  <c r="U2156">
        <f>IF(ChurnData[[#This Row],[churn]]="yes",1,0)</f>
        <v>0</v>
      </c>
    </row>
    <row r="2157" spans="1:21" x14ac:dyDescent="0.3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  <c r="U2157">
        <f>IF(ChurnData[[#This Row],[churn]]="yes",1,0)</f>
        <v>1</v>
      </c>
    </row>
    <row r="2158" spans="1:21" x14ac:dyDescent="0.3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  <c r="U2158">
        <f>IF(ChurnData[[#This Row],[churn]]="yes",1,0)</f>
        <v>1</v>
      </c>
    </row>
    <row r="2159" spans="1:21" x14ac:dyDescent="0.3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  <c r="U2159">
        <f>IF(ChurnData[[#This Row],[churn]]="yes",1,0)</f>
        <v>0</v>
      </c>
    </row>
    <row r="2160" spans="1:21" x14ac:dyDescent="0.3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  <c r="U2160">
        <f>IF(ChurnData[[#This Row],[churn]]="yes",1,0)</f>
        <v>0</v>
      </c>
    </row>
    <row r="2161" spans="1:21" x14ac:dyDescent="0.3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  <c r="U2161">
        <f>IF(ChurnData[[#This Row],[churn]]="yes",1,0)</f>
        <v>1</v>
      </c>
    </row>
    <row r="2162" spans="1:21" x14ac:dyDescent="0.3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  <c r="U2162">
        <f>IF(ChurnData[[#This Row],[churn]]="yes",1,0)</f>
        <v>0</v>
      </c>
    </row>
    <row r="2163" spans="1:21" x14ac:dyDescent="0.3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  <c r="U2163">
        <f>IF(ChurnData[[#This Row],[churn]]="yes",1,0)</f>
        <v>0</v>
      </c>
    </row>
    <row r="2164" spans="1:21" x14ac:dyDescent="0.3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  <c r="U2164">
        <f>IF(ChurnData[[#This Row],[churn]]="yes",1,0)</f>
        <v>1</v>
      </c>
    </row>
    <row r="2165" spans="1:21" x14ac:dyDescent="0.3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  <c r="U2165">
        <f>IF(ChurnData[[#This Row],[churn]]="yes",1,0)</f>
        <v>0</v>
      </c>
    </row>
    <row r="2166" spans="1:21" x14ac:dyDescent="0.3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  <c r="U2166">
        <f>IF(ChurnData[[#This Row],[churn]]="yes",1,0)</f>
        <v>0</v>
      </c>
    </row>
    <row r="2167" spans="1:21" x14ac:dyDescent="0.3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  <c r="U2167">
        <f>IF(ChurnData[[#This Row],[churn]]="yes",1,0)</f>
        <v>0</v>
      </c>
    </row>
    <row r="2168" spans="1:21" x14ac:dyDescent="0.3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  <c r="U2168">
        <f>IF(ChurnData[[#This Row],[churn]]="yes",1,0)</f>
        <v>0</v>
      </c>
    </row>
    <row r="2169" spans="1:21" x14ac:dyDescent="0.3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  <c r="U2169">
        <f>IF(ChurnData[[#This Row],[churn]]="yes",1,0)</f>
        <v>0</v>
      </c>
    </row>
    <row r="2170" spans="1:21" x14ac:dyDescent="0.3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  <c r="U2170">
        <f>IF(ChurnData[[#This Row],[churn]]="yes",1,0)</f>
        <v>0</v>
      </c>
    </row>
    <row r="2171" spans="1:21" x14ac:dyDescent="0.3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  <c r="U2171">
        <f>IF(ChurnData[[#This Row],[churn]]="yes",1,0)</f>
        <v>0</v>
      </c>
    </row>
    <row r="2172" spans="1:21" x14ac:dyDescent="0.3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  <c r="U2172">
        <f>IF(ChurnData[[#This Row],[churn]]="yes",1,0)</f>
        <v>0</v>
      </c>
    </row>
    <row r="2173" spans="1:21" x14ac:dyDescent="0.3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  <c r="U2173">
        <f>IF(ChurnData[[#This Row],[churn]]="yes",1,0)</f>
        <v>0</v>
      </c>
    </row>
    <row r="2174" spans="1:21" x14ac:dyDescent="0.3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  <c r="U2174">
        <f>IF(ChurnData[[#This Row],[churn]]="yes",1,0)</f>
        <v>0</v>
      </c>
    </row>
    <row r="2175" spans="1:21" x14ac:dyDescent="0.3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  <c r="U2175">
        <f>IF(ChurnData[[#This Row],[churn]]="yes",1,0)</f>
        <v>0</v>
      </c>
    </row>
    <row r="2176" spans="1:21" x14ac:dyDescent="0.3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  <c r="U2176">
        <f>IF(ChurnData[[#This Row],[churn]]="yes",1,0)</f>
        <v>0</v>
      </c>
    </row>
    <row r="2177" spans="1:21" x14ac:dyDescent="0.3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  <c r="U2177">
        <f>IF(ChurnData[[#This Row],[churn]]="yes",1,0)</f>
        <v>0</v>
      </c>
    </row>
    <row r="2178" spans="1:21" x14ac:dyDescent="0.3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  <c r="U2178">
        <f>IF(ChurnData[[#This Row],[churn]]="yes",1,0)</f>
        <v>0</v>
      </c>
    </row>
    <row r="2179" spans="1:21" x14ac:dyDescent="0.3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  <c r="U2179">
        <f>IF(ChurnData[[#This Row],[churn]]="yes",1,0)</f>
        <v>0</v>
      </c>
    </row>
    <row r="2180" spans="1:21" x14ac:dyDescent="0.3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  <c r="U2180">
        <f>IF(ChurnData[[#This Row],[churn]]="yes",1,0)</f>
        <v>0</v>
      </c>
    </row>
    <row r="2181" spans="1:21" x14ac:dyDescent="0.3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  <c r="U2181">
        <f>IF(ChurnData[[#This Row],[churn]]="yes",1,0)</f>
        <v>1</v>
      </c>
    </row>
    <row r="2182" spans="1:21" x14ac:dyDescent="0.3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  <c r="U2182">
        <f>IF(ChurnData[[#This Row],[churn]]="yes",1,0)</f>
        <v>0</v>
      </c>
    </row>
    <row r="2183" spans="1:21" x14ac:dyDescent="0.3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  <c r="U2183">
        <f>IF(ChurnData[[#This Row],[churn]]="yes",1,0)</f>
        <v>0</v>
      </c>
    </row>
    <row r="2184" spans="1:21" x14ac:dyDescent="0.3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  <c r="U2184">
        <f>IF(ChurnData[[#This Row],[churn]]="yes",1,0)</f>
        <v>0</v>
      </c>
    </row>
    <row r="2185" spans="1:21" x14ac:dyDescent="0.3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  <c r="U2185">
        <f>IF(ChurnData[[#This Row],[churn]]="yes",1,0)</f>
        <v>1</v>
      </c>
    </row>
    <row r="2186" spans="1:21" x14ac:dyDescent="0.3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  <c r="U2186">
        <f>IF(ChurnData[[#This Row],[churn]]="yes",1,0)</f>
        <v>1</v>
      </c>
    </row>
    <row r="2187" spans="1:21" x14ac:dyDescent="0.3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  <c r="U2187">
        <f>IF(ChurnData[[#This Row],[churn]]="yes",1,0)</f>
        <v>1</v>
      </c>
    </row>
    <row r="2188" spans="1:21" x14ac:dyDescent="0.3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  <c r="U2188">
        <f>IF(ChurnData[[#This Row],[churn]]="yes",1,0)</f>
        <v>0</v>
      </c>
    </row>
    <row r="2189" spans="1:21" x14ac:dyDescent="0.3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  <c r="U2189">
        <f>IF(ChurnData[[#This Row],[churn]]="yes",1,0)</f>
        <v>0</v>
      </c>
    </row>
    <row r="2190" spans="1:21" x14ac:dyDescent="0.3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  <c r="U2190">
        <f>IF(ChurnData[[#This Row],[churn]]="yes",1,0)</f>
        <v>0</v>
      </c>
    </row>
    <row r="2191" spans="1:21" x14ac:dyDescent="0.3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  <c r="U2191">
        <f>IF(ChurnData[[#This Row],[churn]]="yes",1,0)</f>
        <v>0</v>
      </c>
    </row>
    <row r="2192" spans="1:21" x14ac:dyDescent="0.3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  <c r="U2192">
        <f>IF(ChurnData[[#This Row],[churn]]="yes",1,0)</f>
        <v>0</v>
      </c>
    </row>
    <row r="2193" spans="1:21" x14ac:dyDescent="0.3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  <c r="U2193">
        <f>IF(ChurnData[[#This Row],[churn]]="yes",1,0)</f>
        <v>0</v>
      </c>
    </row>
    <row r="2194" spans="1:21" x14ac:dyDescent="0.3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  <c r="U2194">
        <f>IF(ChurnData[[#This Row],[churn]]="yes",1,0)</f>
        <v>0</v>
      </c>
    </row>
    <row r="2195" spans="1:21" x14ac:dyDescent="0.3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  <c r="U2195">
        <f>IF(ChurnData[[#This Row],[churn]]="yes",1,0)</f>
        <v>0</v>
      </c>
    </row>
    <row r="2196" spans="1:21" x14ac:dyDescent="0.3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  <c r="U2196">
        <f>IF(ChurnData[[#This Row],[churn]]="yes",1,0)</f>
        <v>0</v>
      </c>
    </row>
    <row r="2197" spans="1:21" x14ac:dyDescent="0.3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  <c r="U2197">
        <f>IF(ChurnData[[#This Row],[churn]]="yes",1,0)</f>
        <v>0</v>
      </c>
    </row>
    <row r="2198" spans="1:21" x14ac:dyDescent="0.3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  <c r="U2198">
        <f>IF(ChurnData[[#This Row],[churn]]="yes",1,0)</f>
        <v>0</v>
      </c>
    </row>
    <row r="2199" spans="1:21" x14ac:dyDescent="0.3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  <c r="U2199">
        <f>IF(ChurnData[[#This Row],[churn]]="yes",1,0)</f>
        <v>0</v>
      </c>
    </row>
    <row r="2200" spans="1:21" x14ac:dyDescent="0.3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  <c r="U2200">
        <f>IF(ChurnData[[#This Row],[churn]]="yes",1,0)</f>
        <v>0</v>
      </c>
    </row>
    <row r="2201" spans="1:21" x14ac:dyDescent="0.3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  <c r="U2201">
        <f>IF(ChurnData[[#This Row],[churn]]="yes",1,0)</f>
        <v>1</v>
      </c>
    </row>
    <row r="2202" spans="1:21" x14ac:dyDescent="0.3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  <c r="U2202">
        <f>IF(ChurnData[[#This Row],[churn]]="yes",1,0)</f>
        <v>0</v>
      </c>
    </row>
    <row r="2203" spans="1:21" x14ac:dyDescent="0.3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  <c r="U2203">
        <f>IF(ChurnData[[#This Row],[churn]]="yes",1,0)</f>
        <v>0</v>
      </c>
    </row>
    <row r="2204" spans="1:21" x14ac:dyDescent="0.3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  <c r="U2204">
        <f>IF(ChurnData[[#This Row],[churn]]="yes",1,0)</f>
        <v>1</v>
      </c>
    </row>
    <row r="2205" spans="1:21" x14ac:dyDescent="0.3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  <c r="U2205">
        <f>IF(ChurnData[[#This Row],[churn]]="yes",1,0)</f>
        <v>1</v>
      </c>
    </row>
    <row r="2206" spans="1:21" x14ac:dyDescent="0.3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  <c r="U2206">
        <f>IF(ChurnData[[#This Row],[churn]]="yes",1,0)</f>
        <v>0</v>
      </c>
    </row>
    <row r="2207" spans="1:21" x14ac:dyDescent="0.3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  <c r="U2207">
        <f>IF(ChurnData[[#This Row],[churn]]="yes",1,0)</f>
        <v>0</v>
      </c>
    </row>
    <row r="2208" spans="1:21" x14ac:dyDescent="0.3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  <c r="U2208">
        <f>IF(ChurnData[[#This Row],[churn]]="yes",1,0)</f>
        <v>0</v>
      </c>
    </row>
    <row r="2209" spans="1:21" x14ac:dyDescent="0.3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  <c r="U2209">
        <f>IF(ChurnData[[#This Row],[churn]]="yes",1,0)</f>
        <v>1</v>
      </c>
    </row>
    <row r="2210" spans="1:21" x14ac:dyDescent="0.3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  <c r="U2210">
        <f>IF(ChurnData[[#This Row],[churn]]="yes",1,0)</f>
        <v>0</v>
      </c>
    </row>
    <row r="2211" spans="1:21" x14ac:dyDescent="0.3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  <c r="U2211">
        <f>IF(ChurnData[[#This Row],[churn]]="yes",1,0)</f>
        <v>0</v>
      </c>
    </row>
    <row r="2212" spans="1:21" x14ac:dyDescent="0.3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  <c r="U2212">
        <f>IF(ChurnData[[#This Row],[churn]]="yes",1,0)</f>
        <v>1</v>
      </c>
    </row>
    <row r="2213" spans="1:21" x14ac:dyDescent="0.3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  <c r="U2213">
        <f>IF(ChurnData[[#This Row],[churn]]="yes",1,0)</f>
        <v>0</v>
      </c>
    </row>
    <row r="2214" spans="1:21" x14ac:dyDescent="0.3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  <c r="U2214">
        <f>IF(ChurnData[[#This Row],[churn]]="yes",1,0)</f>
        <v>0</v>
      </c>
    </row>
    <row r="2215" spans="1:21" x14ac:dyDescent="0.3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  <c r="U2215">
        <f>IF(ChurnData[[#This Row],[churn]]="yes",1,0)</f>
        <v>0</v>
      </c>
    </row>
    <row r="2216" spans="1:21" x14ac:dyDescent="0.3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  <c r="U2216">
        <f>IF(ChurnData[[#This Row],[churn]]="yes",1,0)</f>
        <v>0</v>
      </c>
    </row>
    <row r="2217" spans="1:21" x14ac:dyDescent="0.3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  <c r="U2217">
        <f>IF(ChurnData[[#This Row],[churn]]="yes",1,0)</f>
        <v>0</v>
      </c>
    </row>
    <row r="2218" spans="1:21" x14ac:dyDescent="0.3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  <c r="U2218">
        <f>IF(ChurnData[[#This Row],[churn]]="yes",1,0)</f>
        <v>0</v>
      </c>
    </row>
    <row r="2219" spans="1:21" x14ac:dyDescent="0.3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  <c r="U2219">
        <f>IF(ChurnData[[#This Row],[churn]]="yes",1,0)</f>
        <v>0</v>
      </c>
    </row>
    <row r="2220" spans="1:21" x14ac:dyDescent="0.3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  <c r="U2220">
        <f>IF(ChurnData[[#This Row],[churn]]="yes",1,0)</f>
        <v>1</v>
      </c>
    </row>
    <row r="2221" spans="1:21" x14ac:dyDescent="0.3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  <c r="U2221">
        <f>IF(ChurnData[[#This Row],[churn]]="yes",1,0)</f>
        <v>0</v>
      </c>
    </row>
    <row r="2222" spans="1:21" x14ac:dyDescent="0.3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  <c r="U2222">
        <f>IF(ChurnData[[#This Row],[churn]]="yes",1,0)</f>
        <v>0</v>
      </c>
    </row>
    <row r="2223" spans="1:21" x14ac:dyDescent="0.3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  <c r="U2223">
        <f>IF(ChurnData[[#This Row],[churn]]="yes",1,0)</f>
        <v>0</v>
      </c>
    </row>
    <row r="2224" spans="1:21" x14ac:dyDescent="0.3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  <c r="U2224">
        <f>IF(ChurnData[[#This Row],[churn]]="yes",1,0)</f>
        <v>0</v>
      </c>
    </row>
    <row r="2225" spans="1:21" x14ac:dyDescent="0.3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  <c r="U2225">
        <f>IF(ChurnData[[#This Row],[churn]]="yes",1,0)</f>
        <v>0</v>
      </c>
    </row>
    <row r="2226" spans="1:21" x14ac:dyDescent="0.3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  <c r="U2226">
        <f>IF(ChurnData[[#This Row],[churn]]="yes",1,0)</f>
        <v>1</v>
      </c>
    </row>
    <row r="2227" spans="1:21" x14ac:dyDescent="0.3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  <c r="U2227">
        <f>IF(ChurnData[[#This Row],[churn]]="yes",1,0)</f>
        <v>0</v>
      </c>
    </row>
    <row r="2228" spans="1:21" x14ac:dyDescent="0.3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  <c r="U2228">
        <f>IF(ChurnData[[#This Row],[churn]]="yes",1,0)</f>
        <v>0</v>
      </c>
    </row>
    <row r="2229" spans="1:21" x14ac:dyDescent="0.3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  <c r="U2229">
        <f>IF(ChurnData[[#This Row],[churn]]="yes",1,0)</f>
        <v>0</v>
      </c>
    </row>
    <row r="2230" spans="1:21" x14ac:dyDescent="0.3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  <c r="U2230">
        <f>IF(ChurnData[[#This Row],[churn]]="yes",1,0)</f>
        <v>0</v>
      </c>
    </row>
    <row r="2231" spans="1:21" x14ac:dyDescent="0.3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  <c r="U2231">
        <f>IF(ChurnData[[#This Row],[churn]]="yes",1,0)</f>
        <v>0</v>
      </c>
    </row>
    <row r="2232" spans="1:21" x14ac:dyDescent="0.3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  <c r="U2232">
        <f>IF(ChurnData[[#This Row],[churn]]="yes",1,0)</f>
        <v>0</v>
      </c>
    </row>
    <row r="2233" spans="1:21" x14ac:dyDescent="0.3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  <c r="U2233">
        <f>IF(ChurnData[[#This Row],[churn]]="yes",1,0)</f>
        <v>0</v>
      </c>
    </row>
    <row r="2234" spans="1:21" x14ac:dyDescent="0.3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  <c r="U2234">
        <f>IF(ChurnData[[#This Row],[churn]]="yes",1,0)</f>
        <v>0</v>
      </c>
    </row>
    <row r="2235" spans="1:21" x14ac:dyDescent="0.3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  <c r="U2235">
        <f>IF(ChurnData[[#This Row],[churn]]="yes",1,0)</f>
        <v>0</v>
      </c>
    </row>
    <row r="2236" spans="1:21" x14ac:dyDescent="0.3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  <c r="U2236">
        <f>IF(ChurnData[[#This Row],[churn]]="yes",1,0)</f>
        <v>0</v>
      </c>
    </row>
    <row r="2237" spans="1:21" x14ac:dyDescent="0.3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  <c r="U2237">
        <f>IF(ChurnData[[#This Row],[churn]]="yes",1,0)</f>
        <v>0</v>
      </c>
    </row>
    <row r="2238" spans="1:21" x14ac:dyDescent="0.3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  <c r="U2238">
        <f>IF(ChurnData[[#This Row],[churn]]="yes",1,0)</f>
        <v>0</v>
      </c>
    </row>
    <row r="2239" spans="1:21" x14ac:dyDescent="0.3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  <c r="U2239">
        <f>IF(ChurnData[[#This Row],[churn]]="yes",1,0)</f>
        <v>0</v>
      </c>
    </row>
    <row r="2240" spans="1:21" x14ac:dyDescent="0.3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  <c r="U2240">
        <f>IF(ChurnData[[#This Row],[churn]]="yes",1,0)</f>
        <v>0</v>
      </c>
    </row>
    <row r="2241" spans="1:21" x14ac:dyDescent="0.3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  <c r="U2241">
        <f>IF(ChurnData[[#This Row],[churn]]="yes",1,0)</f>
        <v>0</v>
      </c>
    </row>
    <row r="2242" spans="1:21" x14ac:dyDescent="0.3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  <c r="U2242">
        <f>IF(ChurnData[[#This Row],[churn]]="yes",1,0)</f>
        <v>0</v>
      </c>
    </row>
    <row r="2243" spans="1:21" x14ac:dyDescent="0.3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  <c r="U2243">
        <f>IF(ChurnData[[#This Row],[churn]]="yes",1,0)</f>
        <v>0</v>
      </c>
    </row>
    <row r="2244" spans="1:21" x14ac:dyDescent="0.3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  <c r="U2244">
        <f>IF(ChurnData[[#This Row],[churn]]="yes",1,0)</f>
        <v>1</v>
      </c>
    </row>
    <row r="2245" spans="1:21" x14ac:dyDescent="0.3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  <c r="U2245">
        <f>IF(ChurnData[[#This Row],[churn]]="yes",1,0)</f>
        <v>0</v>
      </c>
    </row>
    <row r="2246" spans="1:21" x14ac:dyDescent="0.3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  <c r="U2246">
        <f>IF(ChurnData[[#This Row],[churn]]="yes",1,0)</f>
        <v>0</v>
      </c>
    </row>
    <row r="2247" spans="1:21" x14ac:dyDescent="0.3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  <c r="U2247">
        <f>IF(ChurnData[[#This Row],[churn]]="yes",1,0)</f>
        <v>0</v>
      </c>
    </row>
    <row r="2248" spans="1:21" x14ac:dyDescent="0.3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  <c r="U2248">
        <f>IF(ChurnData[[#This Row],[churn]]="yes",1,0)</f>
        <v>0</v>
      </c>
    </row>
    <row r="2249" spans="1:21" x14ac:dyDescent="0.3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  <c r="U2249">
        <f>IF(ChurnData[[#This Row],[churn]]="yes",1,0)</f>
        <v>0</v>
      </c>
    </row>
    <row r="2250" spans="1:21" x14ac:dyDescent="0.3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  <c r="U2250">
        <f>IF(ChurnData[[#This Row],[churn]]="yes",1,0)</f>
        <v>0</v>
      </c>
    </row>
    <row r="2251" spans="1:21" x14ac:dyDescent="0.3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  <c r="U2251">
        <f>IF(ChurnData[[#This Row],[churn]]="yes",1,0)</f>
        <v>0</v>
      </c>
    </row>
    <row r="2252" spans="1:21" x14ac:dyDescent="0.3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  <c r="U2252">
        <f>IF(ChurnData[[#This Row],[churn]]="yes",1,0)</f>
        <v>0</v>
      </c>
    </row>
    <row r="2253" spans="1:21" x14ac:dyDescent="0.3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  <c r="U2253">
        <f>IF(ChurnData[[#This Row],[churn]]="yes",1,0)</f>
        <v>0</v>
      </c>
    </row>
    <row r="2254" spans="1:21" x14ac:dyDescent="0.3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  <c r="U2254">
        <f>IF(ChurnData[[#This Row],[churn]]="yes",1,0)</f>
        <v>0</v>
      </c>
    </row>
    <row r="2255" spans="1:21" x14ac:dyDescent="0.3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  <c r="U2255">
        <f>IF(ChurnData[[#This Row],[churn]]="yes",1,0)</f>
        <v>0</v>
      </c>
    </row>
    <row r="2256" spans="1:21" x14ac:dyDescent="0.3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  <c r="U2256">
        <f>IF(ChurnData[[#This Row],[churn]]="yes",1,0)</f>
        <v>1</v>
      </c>
    </row>
    <row r="2257" spans="1:21" x14ac:dyDescent="0.3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  <c r="U2257">
        <f>IF(ChurnData[[#This Row],[churn]]="yes",1,0)</f>
        <v>0</v>
      </c>
    </row>
    <row r="2258" spans="1:21" x14ac:dyDescent="0.3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  <c r="U2258">
        <f>IF(ChurnData[[#This Row],[churn]]="yes",1,0)</f>
        <v>1</v>
      </c>
    </row>
    <row r="2259" spans="1:21" x14ac:dyDescent="0.3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  <c r="U2259">
        <f>IF(ChurnData[[#This Row],[churn]]="yes",1,0)</f>
        <v>0</v>
      </c>
    </row>
    <row r="2260" spans="1:21" x14ac:dyDescent="0.3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  <c r="U2260">
        <f>IF(ChurnData[[#This Row],[churn]]="yes",1,0)</f>
        <v>1</v>
      </c>
    </row>
    <row r="2261" spans="1:21" x14ac:dyDescent="0.3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  <c r="U2261">
        <f>IF(ChurnData[[#This Row],[churn]]="yes",1,0)</f>
        <v>0</v>
      </c>
    </row>
    <row r="2262" spans="1:21" x14ac:dyDescent="0.3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  <c r="U2262">
        <f>IF(ChurnData[[#This Row],[churn]]="yes",1,0)</f>
        <v>1</v>
      </c>
    </row>
    <row r="2263" spans="1:21" x14ac:dyDescent="0.3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  <c r="U2263">
        <f>IF(ChurnData[[#This Row],[churn]]="yes",1,0)</f>
        <v>0</v>
      </c>
    </row>
    <row r="2264" spans="1:21" x14ac:dyDescent="0.3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  <c r="U2264">
        <f>IF(ChurnData[[#This Row],[churn]]="yes",1,0)</f>
        <v>0</v>
      </c>
    </row>
    <row r="2265" spans="1:21" x14ac:dyDescent="0.3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  <c r="U2265">
        <f>IF(ChurnData[[#This Row],[churn]]="yes",1,0)</f>
        <v>0</v>
      </c>
    </row>
    <row r="2266" spans="1:21" x14ac:dyDescent="0.3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  <c r="U2266">
        <f>IF(ChurnData[[#This Row],[churn]]="yes",1,0)</f>
        <v>0</v>
      </c>
    </row>
    <row r="2267" spans="1:21" x14ac:dyDescent="0.3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  <c r="U2267">
        <f>IF(ChurnData[[#This Row],[churn]]="yes",1,0)</f>
        <v>0</v>
      </c>
    </row>
    <row r="2268" spans="1:21" x14ac:dyDescent="0.3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  <c r="U2268">
        <f>IF(ChurnData[[#This Row],[churn]]="yes",1,0)</f>
        <v>1</v>
      </c>
    </row>
    <row r="2269" spans="1:21" x14ac:dyDescent="0.3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  <c r="U2269">
        <f>IF(ChurnData[[#This Row],[churn]]="yes",1,0)</f>
        <v>0</v>
      </c>
    </row>
    <row r="2270" spans="1:21" x14ac:dyDescent="0.3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  <c r="U2270">
        <f>IF(ChurnData[[#This Row],[churn]]="yes",1,0)</f>
        <v>0</v>
      </c>
    </row>
    <row r="2271" spans="1:21" x14ac:dyDescent="0.3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  <c r="U2271">
        <f>IF(ChurnData[[#This Row],[churn]]="yes",1,0)</f>
        <v>0</v>
      </c>
    </row>
    <row r="2272" spans="1:21" x14ac:dyDescent="0.3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  <c r="U2272">
        <f>IF(ChurnData[[#This Row],[churn]]="yes",1,0)</f>
        <v>1</v>
      </c>
    </row>
    <row r="2273" spans="1:21" x14ac:dyDescent="0.3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  <c r="U2273">
        <f>IF(ChurnData[[#This Row],[churn]]="yes",1,0)</f>
        <v>0</v>
      </c>
    </row>
    <row r="2274" spans="1:21" x14ac:dyDescent="0.3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  <c r="U2274">
        <f>IF(ChurnData[[#This Row],[churn]]="yes",1,0)</f>
        <v>0</v>
      </c>
    </row>
    <row r="2275" spans="1:21" x14ac:dyDescent="0.3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  <c r="U2275">
        <f>IF(ChurnData[[#This Row],[churn]]="yes",1,0)</f>
        <v>0</v>
      </c>
    </row>
    <row r="2276" spans="1:21" x14ac:dyDescent="0.3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  <c r="U2276">
        <f>IF(ChurnData[[#This Row],[churn]]="yes",1,0)</f>
        <v>1</v>
      </c>
    </row>
    <row r="2277" spans="1:21" x14ac:dyDescent="0.3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  <c r="U2277">
        <f>IF(ChurnData[[#This Row],[churn]]="yes",1,0)</f>
        <v>0</v>
      </c>
    </row>
    <row r="2278" spans="1:21" x14ac:dyDescent="0.3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  <c r="U2278">
        <f>IF(ChurnData[[#This Row],[churn]]="yes",1,0)</f>
        <v>0</v>
      </c>
    </row>
    <row r="2279" spans="1:21" x14ac:dyDescent="0.3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  <c r="U2279">
        <f>IF(ChurnData[[#This Row],[churn]]="yes",1,0)</f>
        <v>0</v>
      </c>
    </row>
    <row r="2280" spans="1:21" x14ac:dyDescent="0.3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  <c r="U2280">
        <f>IF(ChurnData[[#This Row],[churn]]="yes",1,0)</f>
        <v>0</v>
      </c>
    </row>
    <row r="2281" spans="1:21" x14ac:dyDescent="0.3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  <c r="U2281">
        <f>IF(ChurnData[[#This Row],[churn]]="yes",1,0)</f>
        <v>1</v>
      </c>
    </row>
    <row r="2282" spans="1:21" x14ac:dyDescent="0.3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  <c r="U2282">
        <f>IF(ChurnData[[#This Row],[churn]]="yes",1,0)</f>
        <v>0</v>
      </c>
    </row>
    <row r="2283" spans="1:21" x14ac:dyDescent="0.3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  <c r="U2283">
        <f>IF(ChurnData[[#This Row],[churn]]="yes",1,0)</f>
        <v>0</v>
      </c>
    </row>
    <row r="2284" spans="1:21" x14ac:dyDescent="0.3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  <c r="U2284">
        <f>IF(ChurnData[[#This Row],[churn]]="yes",1,0)</f>
        <v>0</v>
      </c>
    </row>
    <row r="2285" spans="1:21" x14ac:dyDescent="0.3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  <c r="U2285">
        <f>IF(ChurnData[[#This Row],[churn]]="yes",1,0)</f>
        <v>0</v>
      </c>
    </row>
    <row r="2286" spans="1:21" x14ac:dyDescent="0.3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  <c r="U2286">
        <f>IF(ChurnData[[#This Row],[churn]]="yes",1,0)</f>
        <v>0</v>
      </c>
    </row>
    <row r="2287" spans="1:21" x14ac:dyDescent="0.3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  <c r="U2287">
        <f>IF(ChurnData[[#This Row],[churn]]="yes",1,0)</f>
        <v>1</v>
      </c>
    </row>
    <row r="2288" spans="1:21" x14ac:dyDescent="0.3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  <c r="U2288">
        <f>IF(ChurnData[[#This Row],[churn]]="yes",1,0)</f>
        <v>0</v>
      </c>
    </row>
    <row r="2289" spans="1:21" x14ac:dyDescent="0.3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  <c r="U2289">
        <f>IF(ChurnData[[#This Row],[churn]]="yes",1,0)</f>
        <v>0</v>
      </c>
    </row>
    <row r="2290" spans="1:21" x14ac:dyDescent="0.3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  <c r="U2290">
        <f>IF(ChurnData[[#This Row],[churn]]="yes",1,0)</f>
        <v>0</v>
      </c>
    </row>
    <row r="2291" spans="1:21" x14ac:dyDescent="0.3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  <c r="U2291">
        <f>IF(ChurnData[[#This Row],[churn]]="yes",1,0)</f>
        <v>1</v>
      </c>
    </row>
    <row r="2292" spans="1:21" x14ac:dyDescent="0.3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  <c r="U2292">
        <f>IF(ChurnData[[#This Row],[churn]]="yes",1,0)</f>
        <v>0</v>
      </c>
    </row>
    <row r="2293" spans="1:21" x14ac:dyDescent="0.3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  <c r="U2293">
        <f>IF(ChurnData[[#This Row],[churn]]="yes",1,0)</f>
        <v>0</v>
      </c>
    </row>
    <row r="2294" spans="1:21" x14ac:dyDescent="0.3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  <c r="U2294">
        <f>IF(ChurnData[[#This Row],[churn]]="yes",1,0)</f>
        <v>0</v>
      </c>
    </row>
    <row r="2295" spans="1:21" x14ac:dyDescent="0.3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  <c r="U2295">
        <f>IF(ChurnData[[#This Row],[churn]]="yes",1,0)</f>
        <v>0</v>
      </c>
    </row>
    <row r="2296" spans="1:21" x14ac:dyDescent="0.3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  <c r="U2296">
        <f>IF(ChurnData[[#This Row],[churn]]="yes",1,0)</f>
        <v>0</v>
      </c>
    </row>
    <row r="2297" spans="1:21" x14ac:dyDescent="0.3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  <c r="U2297">
        <f>IF(ChurnData[[#This Row],[churn]]="yes",1,0)</f>
        <v>0</v>
      </c>
    </row>
    <row r="2298" spans="1:21" x14ac:dyDescent="0.3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  <c r="U2298">
        <f>IF(ChurnData[[#This Row],[churn]]="yes",1,0)</f>
        <v>0</v>
      </c>
    </row>
    <row r="2299" spans="1:21" x14ac:dyDescent="0.3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  <c r="U2299">
        <f>IF(ChurnData[[#This Row],[churn]]="yes",1,0)</f>
        <v>1</v>
      </c>
    </row>
    <row r="2300" spans="1:21" x14ac:dyDescent="0.3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  <c r="U2300">
        <f>IF(ChurnData[[#This Row],[churn]]="yes",1,0)</f>
        <v>0</v>
      </c>
    </row>
    <row r="2301" spans="1:21" x14ac:dyDescent="0.3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  <c r="U2301">
        <f>IF(ChurnData[[#This Row],[churn]]="yes",1,0)</f>
        <v>0</v>
      </c>
    </row>
    <row r="2302" spans="1:21" x14ac:dyDescent="0.3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  <c r="U2302">
        <f>IF(ChurnData[[#This Row],[churn]]="yes",1,0)</f>
        <v>0</v>
      </c>
    </row>
    <row r="2303" spans="1:21" x14ac:dyDescent="0.3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  <c r="U2303">
        <f>IF(ChurnData[[#This Row],[churn]]="yes",1,0)</f>
        <v>0</v>
      </c>
    </row>
    <row r="2304" spans="1:21" x14ac:dyDescent="0.3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  <c r="U2304">
        <f>IF(ChurnData[[#This Row],[churn]]="yes",1,0)</f>
        <v>0</v>
      </c>
    </row>
    <row r="2305" spans="1:21" x14ac:dyDescent="0.3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  <c r="U2305">
        <f>IF(ChurnData[[#This Row],[churn]]="yes",1,0)</f>
        <v>0</v>
      </c>
    </row>
    <row r="2306" spans="1:21" x14ac:dyDescent="0.3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  <c r="U2306">
        <f>IF(ChurnData[[#This Row],[churn]]="yes",1,0)</f>
        <v>0</v>
      </c>
    </row>
    <row r="2307" spans="1:21" x14ac:dyDescent="0.3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  <c r="U2307">
        <f>IF(ChurnData[[#This Row],[churn]]="yes",1,0)</f>
        <v>0</v>
      </c>
    </row>
    <row r="2308" spans="1:21" x14ac:dyDescent="0.3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  <c r="U2308">
        <f>IF(ChurnData[[#This Row],[churn]]="yes",1,0)</f>
        <v>0</v>
      </c>
    </row>
    <row r="2309" spans="1:21" x14ac:dyDescent="0.3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  <c r="U2309">
        <f>IF(ChurnData[[#This Row],[churn]]="yes",1,0)</f>
        <v>0</v>
      </c>
    </row>
    <row r="2310" spans="1:21" x14ac:dyDescent="0.3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  <c r="U2310">
        <f>IF(ChurnData[[#This Row],[churn]]="yes",1,0)</f>
        <v>0</v>
      </c>
    </row>
    <row r="2311" spans="1:21" x14ac:dyDescent="0.3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  <c r="U2311">
        <f>IF(ChurnData[[#This Row],[churn]]="yes",1,0)</f>
        <v>1</v>
      </c>
    </row>
    <row r="2312" spans="1:21" x14ac:dyDescent="0.3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  <c r="U2312">
        <f>IF(ChurnData[[#This Row],[churn]]="yes",1,0)</f>
        <v>0</v>
      </c>
    </row>
    <row r="2313" spans="1:21" x14ac:dyDescent="0.3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  <c r="U2313">
        <f>IF(ChurnData[[#This Row],[churn]]="yes",1,0)</f>
        <v>0</v>
      </c>
    </row>
    <row r="2314" spans="1:21" x14ac:dyDescent="0.3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  <c r="U2314">
        <f>IF(ChurnData[[#This Row],[churn]]="yes",1,0)</f>
        <v>0</v>
      </c>
    </row>
    <row r="2315" spans="1:21" x14ac:dyDescent="0.3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  <c r="U2315">
        <f>IF(ChurnData[[#This Row],[churn]]="yes",1,0)</f>
        <v>0</v>
      </c>
    </row>
    <row r="2316" spans="1:21" x14ac:dyDescent="0.3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  <c r="U2316">
        <f>IF(ChurnData[[#This Row],[churn]]="yes",1,0)</f>
        <v>0</v>
      </c>
    </row>
    <row r="2317" spans="1:21" x14ac:dyDescent="0.3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  <c r="U2317">
        <f>IF(ChurnData[[#This Row],[churn]]="yes",1,0)</f>
        <v>1</v>
      </c>
    </row>
    <row r="2318" spans="1:21" x14ac:dyDescent="0.3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  <c r="U2318">
        <f>IF(ChurnData[[#This Row],[churn]]="yes",1,0)</f>
        <v>0</v>
      </c>
    </row>
    <row r="2319" spans="1:21" x14ac:dyDescent="0.3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  <c r="U2319">
        <f>IF(ChurnData[[#This Row],[churn]]="yes",1,0)</f>
        <v>0</v>
      </c>
    </row>
    <row r="2320" spans="1:21" x14ac:dyDescent="0.3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  <c r="U2320">
        <f>IF(ChurnData[[#This Row],[churn]]="yes",1,0)</f>
        <v>0</v>
      </c>
    </row>
    <row r="2321" spans="1:21" x14ac:dyDescent="0.3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  <c r="U2321">
        <f>IF(ChurnData[[#This Row],[churn]]="yes",1,0)</f>
        <v>0</v>
      </c>
    </row>
    <row r="2322" spans="1:21" x14ac:dyDescent="0.3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  <c r="U2322">
        <f>IF(ChurnData[[#This Row],[churn]]="yes",1,0)</f>
        <v>0</v>
      </c>
    </row>
    <row r="2323" spans="1:21" x14ac:dyDescent="0.3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  <c r="U2323">
        <f>IF(ChurnData[[#This Row],[churn]]="yes",1,0)</f>
        <v>0</v>
      </c>
    </row>
    <row r="2324" spans="1:21" x14ac:dyDescent="0.3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  <c r="U2324">
        <f>IF(ChurnData[[#This Row],[churn]]="yes",1,0)</f>
        <v>0</v>
      </c>
    </row>
    <row r="2325" spans="1:21" x14ac:dyDescent="0.3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  <c r="U2325">
        <f>IF(ChurnData[[#This Row],[churn]]="yes",1,0)</f>
        <v>0</v>
      </c>
    </row>
    <row r="2326" spans="1:21" x14ac:dyDescent="0.3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  <c r="U2326">
        <f>IF(ChurnData[[#This Row],[churn]]="yes",1,0)</f>
        <v>0</v>
      </c>
    </row>
    <row r="2327" spans="1:21" x14ac:dyDescent="0.3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  <c r="U2327">
        <f>IF(ChurnData[[#This Row],[churn]]="yes",1,0)</f>
        <v>0</v>
      </c>
    </row>
    <row r="2328" spans="1:21" x14ac:dyDescent="0.3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  <c r="U2328">
        <f>IF(ChurnData[[#This Row],[churn]]="yes",1,0)</f>
        <v>1</v>
      </c>
    </row>
    <row r="2329" spans="1:21" x14ac:dyDescent="0.3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  <c r="U2329">
        <f>IF(ChurnData[[#This Row],[churn]]="yes",1,0)</f>
        <v>0</v>
      </c>
    </row>
    <row r="2330" spans="1:21" x14ac:dyDescent="0.3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  <c r="U2330">
        <f>IF(ChurnData[[#This Row],[churn]]="yes",1,0)</f>
        <v>1</v>
      </c>
    </row>
    <row r="2331" spans="1:21" x14ac:dyDescent="0.3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  <c r="U2331">
        <f>IF(ChurnData[[#This Row],[churn]]="yes",1,0)</f>
        <v>0</v>
      </c>
    </row>
    <row r="2332" spans="1:21" x14ac:dyDescent="0.3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  <c r="U2332">
        <f>IF(ChurnData[[#This Row],[churn]]="yes",1,0)</f>
        <v>0</v>
      </c>
    </row>
    <row r="2333" spans="1:21" x14ac:dyDescent="0.3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  <c r="U2333">
        <f>IF(ChurnData[[#This Row],[churn]]="yes",1,0)</f>
        <v>0</v>
      </c>
    </row>
    <row r="2334" spans="1:21" x14ac:dyDescent="0.3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  <c r="U2334">
        <f>IF(ChurnData[[#This Row],[churn]]="yes",1,0)</f>
        <v>0</v>
      </c>
    </row>
    <row r="2335" spans="1:21" x14ac:dyDescent="0.3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  <c r="U2335">
        <f>IF(ChurnData[[#This Row],[churn]]="yes",1,0)</f>
        <v>0</v>
      </c>
    </row>
    <row r="2336" spans="1:21" x14ac:dyDescent="0.3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  <c r="U2336">
        <f>IF(ChurnData[[#This Row],[churn]]="yes",1,0)</f>
        <v>0</v>
      </c>
    </row>
    <row r="2337" spans="1:21" x14ac:dyDescent="0.3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  <c r="U2337">
        <f>IF(ChurnData[[#This Row],[churn]]="yes",1,0)</f>
        <v>0</v>
      </c>
    </row>
    <row r="2338" spans="1:21" x14ac:dyDescent="0.3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  <c r="U2338">
        <f>IF(ChurnData[[#This Row],[churn]]="yes",1,0)</f>
        <v>0</v>
      </c>
    </row>
    <row r="2339" spans="1:21" x14ac:dyDescent="0.3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  <c r="U2339">
        <f>IF(ChurnData[[#This Row],[churn]]="yes",1,0)</f>
        <v>0</v>
      </c>
    </row>
    <row r="2340" spans="1:21" x14ac:dyDescent="0.3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  <c r="U2340">
        <f>IF(ChurnData[[#This Row],[churn]]="yes",1,0)</f>
        <v>1</v>
      </c>
    </row>
    <row r="2341" spans="1:21" x14ac:dyDescent="0.3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  <c r="U2341">
        <f>IF(ChurnData[[#This Row],[churn]]="yes",1,0)</f>
        <v>0</v>
      </c>
    </row>
    <row r="2342" spans="1:21" x14ac:dyDescent="0.3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  <c r="U2342">
        <f>IF(ChurnData[[#This Row],[churn]]="yes",1,0)</f>
        <v>0</v>
      </c>
    </row>
    <row r="2343" spans="1:21" x14ac:dyDescent="0.3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  <c r="U2343">
        <f>IF(ChurnData[[#This Row],[churn]]="yes",1,0)</f>
        <v>0</v>
      </c>
    </row>
    <row r="2344" spans="1:21" x14ac:dyDescent="0.3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  <c r="U2344">
        <f>IF(ChurnData[[#This Row],[churn]]="yes",1,0)</f>
        <v>0</v>
      </c>
    </row>
    <row r="2345" spans="1:21" x14ac:dyDescent="0.3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  <c r="U2345">
        <f>IF(ChurnData[[#This Row],[churn]]="yes",1,0)</f>
        <v>0</v>
      </c>
    </row>
    <row r="2346" spans="1:21" x14ac:dyDescent="0.3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  <c r="U2346">
        <f>IF(ChurnData[[#This Row],[churn]]="yes",1,0)</f>
        <v>0</v>
      </c>
    </row>
    <row r="2347" spans="1:21" x14ac:dyDescent="0.3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  <c r="U2347">
        <f>IF(ChurnData[[#This Row],[churn]]="yes",1,0)</f>
        <v>0</v>
      </c>
    </row>
    <row r="2348" spans="1:21" x14ac:dyDescent="0.3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  <c r="U2348">
        <f>IF(ChurnData[[#This Row],[churn]]="yes",1,0)</f>
        <v>1</v>
      </c>
    </row>
    <row r="2349" spans="1:21" x14ac:dyDescent="0.3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  <c r="U2349">
        <f>IF(ChurnData[[#This Row],[churn]]="yes",1,0)</f>
        <v>1</v>
      </c>
    </row>
    <row r="2350" spans="1:21" x14ac:dyDescent="0.3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  <c r="U2350">
        <f>IF(ChurnData[[#This Row],[churn]]="yes",1,0)</f>
        <v>0</v>
      </c>
    </row>
    <row r="2351" spans="1:21" x14ac:dyDescent="0.3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  <c r="U2351">
        <f>IF(ChurnData[[#This Row],[churn]]="yes",1,0)</f>
        <v>0</v>
      </c>
    </row>
    <row r="2352" spans="1:21" x14ac:dyDescent="0.3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  <c r="U2352">
        <f>IF(ChurnData[[#This Row],[churn]]="yes",1,0)</f>
        <v>0</v>
      </c>
    </row>
    <row r="2353" spans="1:21" x14ac:dyDescent="0.3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  <c r="U2353">
        <f>IF(ChurnData[[#This Row],[churn]]="yes",1,0)</f>
        <v>0</v>
      </c>
    </row>
    <row r="2354" spans="1:21" x14ac:dyDescent="0.3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  <c r="U2354">
        <f>IF(ChurnData[[#This Row],[churn]]="yes",1,0)</f>
        <v>0</v>
      </c>
    </row>
    <row r="2355" spans="1:21" x14ac:dyDescent="0.3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  <c r="U2355">
        <f>IF(ChurnData[[#This Row],[churn]]="yes",1,0)</f>
        <v>0</v>
      </c>
    </row>
    <row r="2356" spans="1:21" x14ac:dyDescent="0.3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  <c r="U2356">
        <f>IF(ChurnData[[#This Row],[churn]]="yes",1,0)</f>
        <v>0</v>
      </c>
    </row>
    <row r="2357" spans="1:21" x14ac:dyDescent="0.3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  <c r="U2357">
        <f>IF(ChurnData[[#This Row],[churn]]="yes",1,0)</f>
        <v>1</v>
      </c>
    </row>
    <row r="2358" spans="1:21" x14ac:dyDescent="0.3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  <c r="U2358">
        <f>IF(ChurnData[[#This Row],[churn]]="yes",1,0)</f>
        <v>1</v>
      </c>
    </row>
    <row r="2359" spans="1:21" x14ac:dyDescent="0.3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  <c r="U2359">
        <f>IF(ChurnData[[#This Row],[churn]]="yes",1,0)</f>
        <v>1</v>
      </c>
    </row>
    <row r="2360" spans="1:21" x14ac:dyDescent="0.3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  <c r="U2360">
        <f>IF(ChurnData[[#This Row],[churn]]="yes",1,0)</f>
        <v>0</v>
      </c>
    </row>
    <row r="2361" spans="1:21" x14ac:dyDescent="0.3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  <c r="U2361">
        <f>IF(ChurnData[[#This Row],[churn]]="yes",1,0)</f>
        <v>0</v>
      </c>
    </row>
    <row r="2362" spans="1:21" x14ac:dyDescent="0.3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  <c r="U2362">
        <f>IF(ChurnData[[#This Row],[churn]]="yes",1,0)</f>
        <v>0</v>
      </c>
    </row>
    <row r="2363" spans="1:21" x14ac:dyDescent="0.3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  <c r="U2363">
        <f>IF(ChurnData[[#This Row],[churn]]="yes",1,0)</f>
        <v>0</v>
      </c>
    </row>
    <row r="2364" spans="1:21" x14ac:dyDescent="0.3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  <c r="U2364">
        <f>IF(ChurnData[[#This Row],[churn]]="yes",1,0)</f>
        <v>0</v>
      </c>
    </row>
    <row r="2365" spans="1:21" x14ac:dyDescent="0.3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  <c r="U2365">
        <f>IF(ChurnData[[#This Row],[churn]]="yes",1,0)</f>
        <v>0</v>
      </c>
    </row>
    <row r="2366" spans="1:21" x14ac:dyDescent="0.3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  <c r="U2366">
        <f>IF(ChurnData[[#This Row],[churn]]="yes",1,0)</f>
        <v>0</v>
      </c>
    </row>
    <row r="2367" spans="1:21" x14ac:dyDescent="0.3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  <c r="U2367">
        <f>IF(ChurnData[[#This Row],[churn]]="yes",1,0)</f>
        <v>0</v>
      </c>
    </row>
    <row r="2368" spans="1:21" x14ac:dyDescent="0.3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  <c r="U2368">
        <f>IF(ChurnData[[#This Row],[churn]]="yes",1,0)</f>
        <v>0</v>
      </c>
    </row>
    <row r="2369" spans="1:21" x14ac:dyDescent="0.3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  <c r="U2369">
        <f>IF(ChurnData[[#This Row],[churn]]="yes",1,0)</f>
        <v>0</v>
      </c>
    </row>
    <row r="2370" spans="1:21" x14ac:dyDescent="0.3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  <c r="U2370">
        <f>IF(ChurnData[[#This Row],[churn]]="yes",1,0)</f>
        <v>0</v>
      </c>
    </row>
    <row r="2371" spans="1:21" x14ac:dyDescent="0.3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  <c r="U2371">
        <f>IF(ChurnData[[#This Row],[churn]]="yes",1,0)</f>
        <v>1</v>
      </c>
    </row>
    <row r="2372" spans="1:21" x14ac:dyDescent="0.3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  <c r="U2372">
        <f>IF(ChurnData[[#This Row],[churn]]="yes",1,0)</f>
        <v>0</v>
      </c>
    </row>
    <row r="2373" spans="1:21" x14ac:dyDescent="0.3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  <c r="U2373">
        <f>IF(ChurnData[[#This Row],[churn]]="yes",1,0)</f>
        <v>0</v>
      </c>
    </row>
    <row r="2374" spans="1:21" x14ac:dyDescent="0.3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  <c r="U2374">
        <f>IF(ChurnData[[#This Row],[churn]]="yes",1,0)</f>
        <v>0</v>
      </c>
    </row>
    <row r="2375" spans="1:21" x14ac:dyDescent="0.3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  <c r="U2375">
        <f>IF(ChurnData[[#This Row],[churn]]="yes",1,0)</f>
        <v>0</v>
      </c>
    </row>
    <row r="2376" spans="1:21" x14ac:dyDescent="0.3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  <c r="U2376">
        <f>IF(ChurnData[[#This Row],[churn]]="yes",1,0)</f>
        <v>0</v>
      </c>
    </row>
    <row r="2377" spans="1:21" x14ac:dyDescent="0.3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  <c r="U2377">
        <f>IF(ChurnData[[#This Row],[churn]]="yes",1,0)</f>
        <v>0</v>
      </c>
    </row>
    <row r="2378" spans="1:21" x14ac:dyDescent="0.3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  <c r="U2378">
        <f>IF(ChurnData[[#This Row],[churn]]="yes",1,0)</f>
        <v>0</v>
      </c>
    </row>
    <row r="2379" spans="1:21" x14ac:dyDescent="0.3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  <c r="U2379">
        <f>IF(ChurnData[[#This Row],[churn]]="yes",1,0)</f>
        <v>0</v>
      </c>
    </row>
    <row r="2380" spans="1:21" x14ac:dyDescent="0.3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  <c r="U2380">
        <f>IF(ChurnData[[#This Row],[churn]]="yes",1,0)</f>
        <v>0</v>
      </c>
    </row>
    <row r="2381" spans="1:21" x14ac:dyDescent="0.3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  <c r="U2381">
        <f>IF(ChurnData[[#This Row],[churn]]="yes",1,0)</f>
        <v>0</v>
      </c>
    </row>
    <row r="2382" spans="1:21" x14ac:dyDescent="0.3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  <c r="U2382">
        <f>IF(ChurnData[[#This Row],[churn]]="yes",1,0)</f>
        <v>0</v>
      </c>
    </row>
    <row r="2383" spans="1:21" x14ac:dyDescent="0.3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  <c r="U2383">
        <f>IF(ChurnData[[#This Row],[churn]]="yes",1,0)</f>
        <v>0</v>
      </c>
    </row>
    <row r="2384" spans="1:21" x14ac:dyDescent="0.3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  <c r="U2384">
        <f>IF(ChurnData[[#This Row],[churn]]="yes",1,0)</f>
        <v>0</v>
      </c>
    </row>
    <row r="2385" spans="1:21" x14ac:dyDescent="0.3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  <c r="U2385">
        <f>IF(ChurnData[[#This Row],[churn]]="yes",1,0)</f>
        <v>0</v>
      </c>
    </row>
    <row r="2386" spans="1:21" x14ac:dyDescent="0.3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  <c r="U2386">
        <f>IF(ChurnData[[#This Row],[churn]]="yes",1,0)</f>
        <v>1</v>
      </c>
    </row>
    <row r="2387" spans="1:21" x14ac:dyDescent="0.3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  <c r="U2387">
        <f>IF(ChurnData[[#This Row],[churn]]="yes",1,0)</f>
        <v>0</v>
      </c>
    </row>
    <row r="2388" spans="1:21" x14ac:dyDescent="0.3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  <c r="U2388">
        <f>IF(ChurnData[[#This Row],[churn]]="yes",1,0)</f>
        <v>0</v>
      </c>
    </row>
    <row r="2389" spans="1:21" x14ac:dyDescent="0.3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  <c r="U2389">
        <f>IF(ChurnData[[#This Row],[churn]]="yes",1,0)</f>
        <v>1</v>
      </c>
    </row>
    <row r="2390" spans="1:21" x14ac:dyDescent="0.3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  <c r="U2390">
        <f>IF(ChurnData[[#This Row],[churn]]="yes",1,0)</f>
        <v>0</v>
      </c>
    </row>
    <row r="2391" spans="1:21" x14ac:dyDescent="0.3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  <c r="U2391">
        <f>IF(ChurnData[[#This Row],[churn]]="yes",1,0)</f>
        <v>0</v>
      </c>
    </row>
    <row r="2392" spans="1:21" x14ac:dyDescent="0.3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  <c r="U2392">
        <f>IF(ChurnData[[#This Row],[churn]]="yes",1,0)</f>
        <v>0</v>
      </c>
    </row>
    <row r="2393" spans="1:21" x14ac:dyDescent="0.3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  <c r="U2393">
        <f>IF(ChurnData[[#This Row],[churn]]="yes",1,0)</f>
        <v>0</v>
      </c>
    </row>
    <row r="2394" spans="1:21" x14ac:dyDescent="0.3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  <c r="U2394">
        <f>IF(ChurnData[[#This Row],[churn]]="yes",1,0)</f>
        <v>1</v>
      </c>
    </row>
    <row r="2395" spans="1:21" x14ac:dyDescent="0.3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  <c r="U2395">
        <f>IF(ChurnData[[#This Row],[churn]]="yes",1,0)</f>
        <v>0</v>
      </c>
    </row>
    <row r="2396" spans="1:21" x14ac:dyDescent="0.3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  <c r="U2396">
        <f>IF(ChurnData[[#This Row],[churn]]="yes",1,0)</f>
        <v>0</v>
      </c>
    </row>
    <row r="2397" spans="1:21" x14ac:dyDescent="0.3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  <c r="U2397">
        <f>IF(ChurnData[[#This Row],[churn]]="yes",1,0)</f>
        <v>1</v>
      </c>
    </row>
    <row r="2398" spans="1:21" x14ac:dyDescent="0.3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  <c r="U2398">
        <f>IF(ChurnData[[#This Row],[churn]]="yes",1,0)</f>
        <v>1</v>
      </c>
    </row>
    <row r="2399" spans="1:21" x14ac:dyDescent="0.3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  <c r="U2399">
        <f>IF(ChurnData[[#This Row],[churn]]="yes",1,0)</f>
        <v>0</v>
      </c>
    </row>
    <row r="2400" spans="1:21" x14ac:dyDescent="0.3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  <c r="U2400">
        <f>IF(ChurnData[[#This Row],[churn]]="yes",1,0)</f>
        <v>0</v>
      </c>
    </row>
    <row r="2401" spans="1:21" x14ac:dyDescent="0.3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  <c r="U2401">
        <f>IF(ChurnData[[#This Row],[churn]]="yes",1,0)</f>
        <v>0</v>
      </c>
    </row>
    <row r="2402" spans="1:21" x14ac:dyDescent="0.3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  <c r="U2402">
        <f>IF(ChurnData[[#This Row],[churn]]="yes",1,0)</f>
        <v>0</v>
      </c>
    </row>
    <row r="2403" spans="1:21" x14ac:dyDescent="0.3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  <c r="U2403">
        <f>IF(ChurnData[[#This Row],[churn]]="yes",1,0)</f>
        <v>0</v>
      </c>
    </row>
    <row r="2404" spans="1:21" x14ac:dyDescent="0.3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  <c r="U2404">
        <f>IF(ChurnData[[#This Row],[churn]]="yes",1,0)</f>
        <v>0</v>
      </c>
    </row>
    <row r="2405" spans="1:21" x14ac:dyDescent="0.3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  <c r="U2405">
        <f>IF(ChurnData[[#This Row],[churn]]="yes",1,0)</f>
        <v>0</v>
      </c>
    </row>
    <row r="2406" spans="1:21" x14ac:dyDescent="0.3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  <c r="U2406">
        <f>IF(ChurnData[[#This Row],[churn]]="yes",1,0)</f>
        <v>0</v>
      </c>
    </row>
    <row r="2407" spans="1:21" x14ac:dyDescent="0.3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  <c r="U2407">
        <f>IF(ChurnData[[#This Row],[churn]]="yes",1,0)</f>
        <v>0</v>
      </c>
    </row>
    <row r="2408" spans="1:21" x14ac:dyDescent="0.3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  <c r="U2408">
        <f>IF(ChurnData[[#This Row],[churn]]="yes",1,0)</f>
        <v>1</v>
      </c>
    </row>
    <row r="2409" spans="1:21" x14ac:dyDescent="0.3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  <c r="U2409">
        <f>IF(ChurnData[[#This Row],[churn]]="yes",1,0)</f>
        <v>0</v>
      </c>
    </row>
    <row r="2410" spans="1:21" x14ac:dyDescent="0.3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  <c r="U2410">
        <f>IF(ChurnData[[#This Row],[churn]]="yes",1,0)</f>
        <v>0</v>
      </c>
    </row>
    <row r="2411" spans="1:21" x14ac:dyDescent="0.3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  <c r="U2411">
        <f>IF(ChurnData[[#This Row],[churn]]="yes",1,0)</f>
        <v>0</v>
      </c>
    </row>
    <row r="2412" spans="1:21" x14ac:dyDescent="0.3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  <c r="U2412">
        <f>IF(ChurnData[[#This Row],[churn]]="yes",1,0)</f>
        <v>0</v>
      </c>
    </row>
    <row r="2413" spans="1:21" x14ac:dyDescent="0.3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  <c r="U2413">
        <f>IF(ChurnData[[#This Row],[churn]]="yes",1,0)</f>
        <v>0</v>
      </c>
    </row>
    <row r="2414" spans="1:21" x14ac:dyDescent="0.3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  <c r="U2414">
        <f>IF(ChurnData[[#This Row],[churn]]="yes",1,0)</f>
        <v>0</v>
      </c>
    </row>
    <row r="2415" spans="1:21" x14ac:dyDescent="0.3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  <c r="U2415">
        <f>IF(ChurnData[[#This Row],[churn]]="yes",1,0)</f>
        <v>0</v>
      </c>
    </row>
    <row r="2416" spans="1:21" x14ac:dyDescent="0.3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  <c r="U2416">
        <f>IF(ChurnData[[#This Row],[churn]]="yes",1,0)</f>
        <v>0</v>
      </c>
    </row>
    <row r="2417" spans="1:21" x14ac:dyDescent="0.3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  <c r="U2417">
        <f>IF(ChurnData[[#This Row],[churn]]="yes",1,0)</f>
        <v>0</v>
      </c>
    </row>
    <row r="2418" spans="1:21" x14ac:dyDescent="0.3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  <c r="U2418">
        <f>IF(ChurnData[[#This Row],[churn]]="yes",1,0)</f>
        <v>0</v>
      </c>
    </row>
    <row r="2419" spans="1:21" x14ac:dyDescent="0.3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  <c r="U2419">
        <f>IF(ChurnData[[#This Row],[churn]]="yes",1,0)</f>
        <v>0</v>
      </c>
    </row>
    <row r="2420" spans="1:21" x14ac:dyDescent="0.3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  <c r="U2420">
        <f>IF(ChurnData[[#This Row],[churn]]="yes",1,0)</f>
        <v>0</v>
      </c>
    </row>
    <row r="2421" spans="1:21" x14ac:dyDescent="0.3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  <c r="U2421">
        <f>IF(ChurnData[[#This Row],[churn]]="yes",1,0)</f>
        <v>0</v>
      </c>
    </row>
    <row r="2422" spans="1:21" x14ac:dyDescent="0.3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  <c r="U2422">
        <f>IF(ChurnData[[#This Row],[churn]]="yes",1,0)</f>
        <v>0</v>
      </c>
    </row>
    <row r="2423" spans="1:21" x14ac:dyDescent="0.3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  <c r="U2423">
        <f>IF(ChurnData[[#This Row],[churn]]="yes",1,0)</f>
        <v>0</v>
      </c>
    </row>
    <row r="2424" spans="1:21" x14ac:dyDescent="0.3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  <c r="U2424">
        <f>IF(ChurnData[[#This Row],[churn]]="yes",1,0)</f>
        <v>0</v>
      </c>
    </row>
    <row r="2425" spans="1:21" x14ac:dyDescent="0.3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  <c r="U2425">
        <f>IF(ChurnData[[#This Row],[churn]]="yes",1,0)</f>
        <v>0</v>
      </c>
    </row>
    <row r="2426" spans="1:21" x14ac:dyDescent="0.3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  <c r="U2426">
        <f>IF(ChurnData[[#This Row],[churn]]="yes",1,0)</f>
        <v>0</v>
      </c>
    </row>
    <row r="2427" spans="1:21" x14ac:dyDescent="0.3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  <c r="U2427">
        <f>IF(ChurnData[[#This Row],[churn]]="yes",1,0)</f>
        <v>0</v>
      </c>
    </row>
    <row r="2428" spans="1:21" x14ac:dyDescent="0.3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  <c r="U2428">
        <f>IF(ChurnData[[#This Row],[churn]]="yes",1,0)</f>
        <v>0</v>
      </c>
    </row>
    <row r="2429" spans="1:21" x14ac:dyDescent="0.3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  <c r="U2429">
        <f>IF(ChurnData[[#This Row],[churn]]="yes",1,0)</f>
        <v>0</v>
      </c>
    </row>
    <row r="2430" spans="1:21" x14ac:dyDescent="0.3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  <c r="U2430">
        <f>IF(ChurnData[[#This Row],[churn]]="yes",1,0)</f>
        <v>1</v>
      </c>
    </row>
    <row r="2431" spans="1:21" x14ac:dyDescent="0.3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  <c r="U2431">
        <f>IF(ChurnData[[#This Row],[churn]]="yes",1,0)</f>
        <v>0</v>
      </c>
    </row>
    <row r="2432" spans="1:21" x14ac:dyDescent="0.3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  <c r="U2432">
        <f>IF(ChurnData[[#This Row],[churn]]="yes",1,0)</f>
        <v>0</v>
      </c>
    </row>
    <row r="2433" spans="1:21" x14ac:dyDescent="0.3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  <c r="U2433">
        <f>IF(ChurnData[[#This Row],[churn]]="yes",1,0)</f>
        <v>0</v>
      </c>
    </row>
    <row r="2434" spans="1:21" x14ac:dyDescent="0.3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  <c r="U2434">
        <f>IF(ChurnData[[#This Row],[churn]]="yes",1,0)</f>
        <v>0</v>
      </c>
    </row>
    <row r="2435" spans="1:21" x14ac:dyDescent="0.3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  <c r="U2435">
        <f>IF(ChurnData[[#This Row],[churn]]="yes",1,0)</f>
        <v>1</v>
      </c>
    </row>
    <row r="2436" spans="1:21" x14ac:dyDescent="0.3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  <c r="U2436">
        <f>IF(ChurnData[[#This Row],[churn]]="yes",1,0)</f>
        <v>0</v>
      </c>
    </row>
    <row r="2437" spans="1:21" x14ac:dyDescent="0.3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  <c r="U2437">
        <f>IF(ChurnData[[#This Row],[churn]]="yes",1,0)</f>
        <v>0</v>
      </c>
    </row>
    <row r="2438" spans="1:21" x14ac:dyDescent="0.3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  <c r="U2438">
        <f>IF(ChurnData[[#This Row],[churn]]="yes",1,0)</f>
        <v>0</v>
      </c>
    </row>
    <row r="2439" spans="1:21" x14ac:dyDescent="0.3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  <c r="U2439">
        <f>IF(ChurnData[[#This Row],[churn]]="yes",1,0)</f>
        <v>0</v>
      </c>
    </row>
    <row r="2440" spans="1:21" x14ac:dyDescent="0.3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  <c r="U2440">
        <f>IF(ChurnData[[#This Row],[churn]]="yes",1,0)</f>
        <v>0</v>
      </c>
    </row>
    <row r="2441" spans="1:21" x14ac:dyDescent="0.3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  <c r="U2441">
        <f>IF(ChurnData[[#This Row],[churn]]="yes",1,0)</f>
        <v>1</v>
      </c>
    </row>
    <row r="2442" spans="1:21" x14ac:dyDescent="0.3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  <c r="U2442">
        <f>IF(ChurnData[[#This Row],[churn]]="yes",1,0)</f>
        <v>0</v>
      </c>
    </row>
    <row r="2443" spans="1:21" x14ac:dyDescent="0.3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  <c r="U2443">
        <f>IF(ChurnData[[#This Row],[churn]]="yes",1,0)</f>
        <v>1</v>
      </c>
    </row>
    <row r="2444" spans="1:21" x14ac:dyDescent="0.3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  <c r="U2444">
        <f>IF(ChurnData[[#This Row],[churn]]="yes",1,0)</f>
        <v>0</v>
      </c>
    </row>
    <row r="2445" spans="1:21" x14ac:dyDescent="0.3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  <c r="U2445">
        <f>IF(ChurnData[[#This Row],[churn]]="yes",1,0)</f>
        <v>0</v>
      </c>
    </row>
    <row r="2446" spans="1:21" x14ac:dyDescent="0.3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  <c r="U2446">
        <f>IF(ChurnData[[#This Row],[churn]]="yes",1,0)</f>
        <v>0</v>
      </c>
    </row>
    <row r="2447" spans="1:21" x14ac:dyDescent="0.3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  <c r="U2447">
        <f>IF(ChurnData[[#This Row],[churn]]="yes",1,0)</f>
        <v>1</v>
      </c>
    </row>
    <row r="2448" spans="1:21" x14ac:dyDescent="0.3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  <c r="U2448">
        <f>IF(ChurnData[[#This Row],[churn]]="yes",1,0)</f>
        <v>0</v>
      </c>
    </row>
    <row r="2449" spans="1:21" x14ac:dyDescent="0.3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  <c r="U2449">
        <f>IF(ChurnData[[#This Row],[churn]]="yes",1,0)</f>
        <v>0</v>
      </c>
    </row>
    <row r="2450" spans="1:21" x14ac:dyDescent="0.3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  <c r="U2450">
        <f>IF(ChurnData[[#This Row],[churn]]="yes",1,0)</f>
        <v>0</v>
      </c>
    </row>
    <row r="2451" spans="1:21" x14ac:dyDescent="0.3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  <c r="U2451">
        <f>IF(ChurnData[[#This Row],[churn]]="yes",1,0)</f>
        <v>0</v>
      </c>
    </row>
    <row r="2452" spans="1:21" x14ac:dyDescent="0.3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  <c r="U2452">
        <f>IF(ChurnData[[#This Row],[churn]]="yes",1,0)</f>
        <v>0</v>
      </c>
    </row>
    <row r="2453" spans="1:21" x14ac:dyDescent="0.3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  <c r="U2453">
        <f>IF(ChurnData[[#This Row],[churn]]="yes",1,0)</f>
        <v>0</v>
      </c>
    </row>
    <row r="2454" spans="1:21" x14ac:dyDescent="0.3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  <c r="U2454">
        <f>IF(ChurnData[[#This Row],[churn]]="yes",1,0)</f>
        <v>0</v>
      </c>
    </row>
    <row r="2455" spans="1:21" x14ac:dyDescent="0.3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  <c r="U2455">
        <f>IF(ChurnData[[#This Row],[churn]]="yes",1,0)</f>
        <v>0</v>
      </c>
    </row>
    <row r="2456" spans="1:21" x14ac:dyDescent="0.3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  <c r="U2456">
        <f>IF(ChurnData[[#This Row],[churn]]="yes",1,0)</f>
        <v>0</v>
      </c>
    </row>
    <row r="2457" spans="1:21" x14ac:dyDescent="0.3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  <c r="U2457">
        <f>IF(ChurnData[[#This Row],[churn]]="yes",1,0)</f>
        <v>0</v>
      </c>
    </row>
    <row r="2458" spans="1:21" x14ac:dyDescent="0.3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  <c r="U2458">
        <f>IF(ChurnData[[#This Row],[churn]]="yes",1,0)</f>
        <v>1</v>
      </c>
    </row>
    <row r="2459" spans="1:21" x14ac:dyDescent="0.3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  <c r="U2459">
        <f>IF(ChurnData[[#This Row],[churn]]="yes",1,0)</f>
        <v>0</v>
      </c>
    </row>
    <row r="2460" spans="1:21" x14ac:dyDescent="0.3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  <c r="U2460">
        <f>IF(ChurnData[[#This Row],[churn]]="yes",1,0)</f>
        <v>0</v>
      </c>
    </row>
    <row r="2461" spans="1:21" x14ac:dyDescent="0.3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  <c r="U2461">
        <f>IF(ChurnData[[#This Row],[churn]]="yes",1,0)</f>
        <v>0</v>
      </c>
    </row>
    <row r="2462" spans="1:21" x14ac:dyDescent="0.3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  <c r="U2462">
        <f>IF(ChurnData[[#This Row],[churn]]="yes",1,0)</f>
        <v>0</v>
      </c>
    </row>
    <row r="2463" spans="1:21" x14ac:dyDescent="0.3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  <c r="U2463">
        <f>IF(ChurnData[[#This Row],[churn]]="yes",1,0)</f>
        <v>0</v>
      </c>
    </row>
    <row r="2464" spans="1:21" x14ac:dyDescent="0.3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  <c r="U2464">
        <f>IF(ChurnData[[#This Row],[churn]]="yes",1,0)</f>
        <v>0</v>
      </c>
    </row>
    <row r="2465" spans="1:21" x14ac:dyDescent="0.3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  <c r="U2465">
        <f>IF(ChurnData[[#This Row],[churn]]="yes",1,0)</f>
        <v>1</v>
      </c>
    </row>
    <row r="2466" spans="1:21" x14ac:dyDescent="0.3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  <c r="U2466">
        <f>IF(ChurnData[[#This Row],[churn]]="yes",1,0)</f>
        <v>0</v>
      </c>
    </row>
    <row r="2467" spans="1:21" x14ac:dyDescent="0.3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  <c r="U2467">
        <f>IF(ChurnData[[#This Row],[churn]]="yes",1,0)</f>
        <v>0</v>
      </c>
    </row>
    <row r="2468" spans="1:21" x14ac:dyDescent="0.3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  <c r="U2468">
        <f>IF(ChurnData[[#This Row],[churn]]="yes",1,0)</f>
        <v>0</v>
      </c>
    </row>
    <row r="2469" spans="1:21" x14ac:dyDescent="0.3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  <c r="U2469">
        <f>IF(ChurnData[[#This Row],[churn]]="yes",1,0)</f>
        <v>0</v>
      </c>
    </row>
    <row r="2470" spans="1:21" x14ac:dyDescent="0.3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  <c r="U2470">
        <f>IF(ChurnData[[#This Row],[churn]]="yes",1,0)</f>
        <v>0</v>
      </c>
    </row>
    <row r="2471" spans="1:21" x14ac:dyDescent="0.3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  <c r="U2471">
        <f>IF(ChurnData[[#This Row],[churn]]="yes",1,0)</f>
        <v>0</v>
      </c>
    </row>
    <row r="2472" spans="1:21" x14ac:dyDescent="0.3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  <c r="U2472">
        <f>IF(ChurnData[[#This Row],[churn]]="yes",1,0)</f>
        <v>0</v>
      </c>
    </row>
    <row r="2473" spans="1:21" x14ac:dyDescent="0.3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  <c r="U2473">
        <f>IF(ChurnData[[#This Row],[churn]]="yes",1,0)</f>
        <v>0</v>
      </c>
    </row>
    <row r="2474" spans="1:21" x14ac:dyDescent="0.3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  <c r="U2474">
        <f>IF(ChurnData[[#This Row],[churn]]="yes",1,0)</f>
        <v>0</v>
      </c>
    </row>
    <row r="2475" spans="1:21" x14ac:dyDescent="0.3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  <c r="U2475">
        <f>IF(ChurnData[[#This Row],[churn]]="yes",1,0)</f>
        <v>0</v>
      </c>
    </row>
    <row r="2476" spans="1:21" x14ac:dyDescent="0.3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  <c r="U2476">
        <f>IF(ChurnData[[#This Row],[churn]]="yes",1,0)</f>
        <v>0</v>
      </c>
    </row>
    <row r="2477" spans="1:21" x14ac:dyDescent="0.3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  <c r="U2477">
        <f>IF(ChurnData[[#This Row],[churn]]="yes",1,0)</f>
        <v>0</v>
      </c>
    </row>
    <row r="2478" spans="1:21" x14ac:dyDescent="0.3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  <c r="U2478">
        <f>IF(ChurnData[[#This Row],[churn]]="yes",1,0)</f>
        <v>1</v>
      </c>
    </row>
    <row r="2479" spans="1:21" x14ac:dyDescent="0.3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  <c r="U2479">
        <f>IF(ChurnData[[#This Row],[churn]]="yes",1,0)</f>
        <v>1</v>
      </c>
    </row>
    <row r="2480" spans="1:21" x14ac:dyDescent="0.3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  <c r="U2480">
        <f>IF(ChurnData[[#This Row],[churn]]="yes",1,0)</f>
        <v>0</v>
      </c>
    </row>
    <row r="2481" spans="1:21" x14ac:dyDescent="0.3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  <c r="U2481">
        <f>IF(ChurnData[[#This Row],[churn]]="yes",1,0)</f>
        <v>0</v>
      </c>
    </row>
    <row r="2482" spans="1:21" x14ac:dyDescent="0.3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  <c r="U2482">
        <f>IF(ChurnData[[#This Row],[churn]]="yes",1,0)</f>
        <v>0</v>
      </c>
    </row>
    <row r="2483" spans="1:21" x14ac:dyDescent="0.3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  <c r="U2483">
        <f>IF(ChurnData[[#This Row],[churn]]="yes",1,0)</f>
        <v>0</v>
      </c>
    </row>
    <row r="2484" spans="1:21" x14ac:dyDescent="0.3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  <c r="U2484">
        <f>IF(ChurnData[[#This Row],[churn]]="yes",1,0)</f>
        <v>0</v>
      </c>
    </row>
    <row r="2485" spans="1:21" x14ac:dyDescent="0.3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  <c r="U2485">
        <f>IF(ChurnData[[#This Row],[churn]]="yes",1,0)</f>
        <v>0</v>
      </c>
    </row>
    <row r="2486" spans="1:21" x14ac:dyDescent="0.3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  <c r="U2486">
        <f>IF(ChurnData[[#This Row],[churn]]="yes",1,0)</f>
        <v>1</v>
      </c>
    </row>
    <row r="2487" spans="1:21" x14ac:dyDescent="0.3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  <c r="U2487">
        <f>IF(ChurnData[[#This Row],[churn]]="yes",1,0)</f>
        <v>0</v>
      </c>
    </row>
    <row r="2488" spans="1:21" x14ac:dyDescent="0.3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  <c r="U2488">
        <f>IF(ChurnData[[#This Row],[churn]]="yes",1,0)</f>
        <v>1</v>
      </c>
    </row>
    <row r="2489" spans="1:21" x14ac:dyDescent="0.3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  <c r="U2489">
        <f>IF(ChurnData[[#This Row],[churn]]="yes",1,0)</f>
        <v>0</v>
      </c>
    </row>
    <row r="2490" spans="1:21" x14ac:dyDescent="0.3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  <c r="U2490">
        <f>IF(ChurnData[[#This Row],[churn]]="yes",1,0)</f>
        <v>0</v>
      </c>
    </row>
    <row r="2491" spans="1:21" x14ac:dyDescent="0.3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  <c r="U2491">
        <f>IF(ChurnData[[#This Row],[churn]]="yes",1,0)</f>
        <v>0</v>
      </c>
    </row>
    <row r="2492" spans="1:21" x14ac:dyDescent="0.3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  <c r="U2492">
        <f>IF(ChurnData[[#This Row],[churn]]="yes",1,0)</f>
        <v>0</v>
      </c>
    </row>
    <row r="2493" spans="1:21" x14ac:dyDescent="0.3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  <c r="U2493">
        <f>IF(ChurnData[[#This Row],[churn]]="yes",1,0)</f>
        <v>1</v>
      </c>
    </row>
    <row r="2494" spans="1:21" x14ac:dyDescent="0.3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  <c r="U2494">
        <f>IF(ChurnData[[#This Row],[churn]]="yes",1,0)</f>
        <v>0</v>
      </c>
    </row>
    <row r="2495" spans="1:21" x14ac:dyDescent="0.3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  <c r="U2495">
        <f>IF(ChurnData[[#This Row],[churn]]="yes",1,0)</f>
        <v>0</v>
      </c>
    </row>
    <row r="2496" spans="1:21" x14ac:dyDescent="0.3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  <c r="U2496">
        <f>IF(ChurnData[[#This Row],[churn]]="yes",1,0)</f>
        <v>0</v>
      </c>
    </row>
    <row r="2497" spans="1:21" x14ac:dyDescent="0.3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  <c r="U2497">
        <f>IF(ChurnData[[#This Row],[churn]]="yes",1,0)</f>
        <v>0</v>
      </c>
    </row>
    <row r="2498" spans="1:21" x14ac:dyDescent="0.3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  <c r="U2498">
        <f>IF(ChurnData[[#This Row],[churn]]="yes",1,0)</f>
        <v>1</v>
      </c>
    </row>
    <row r="2499" spans="1:21" x14ac:dyDescent="0.3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  <c r="U2499">
        <f>IF(ChurnData[[#This Row],[churn]]="yes",1,0)</f>
        <v>0</v>
      </c>
    </row>
    <row r="2500" spans="1:21" x14ac:dyDescent="0.3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  <c r="U2500">
        <f>IF(ChurnData[[#This Row],[churn]]="yes",1,0)</f>
        <v>0</v>
      </c>
    </row>
    <row r="2501" spans="1:21" x14ac:dyDescent="0.3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  <c r="U2501">
        <f>IF(ChurnData[[#This Row],[churn]]="yes",1,0)</f>
        <v>1</v>
      </c>
    </row>
    <row r="2502" spans="1:21" x14ac:dyDescent="0.3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  <c r="U2502">
        <f>IF(ChurnData[[#This Row],[churn]]="yes",1,0)</f>
        <v>0</v>
      </c>
    </row>
    <row r="2503" spans="1:21" x14ac:dyDescent="0.3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  <c r="U2503">
        <f>IF(ChurnData[[#This Row],[churn]]="yes",1,0)</f>
        <v>0</v>
      </c>
    </row>
    <row r="2504" spans="1:21" x14ac:dyDescent="0.3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  <c r="U2504">
        <f>IF(ChurnData[[#This Row],[churn]]="yes",1,0)</f>
        <v>0</v>
      </c>
    </row>
    <row r="2505" spans="1:21" x14ac:dyDescent="0.3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  <c r="U2505">
        <f>IF(ChurnData[[#This Row],[churn]]="yes",1,0)</f>
        <v>0</v>
      </c>
    </row>
    <row r="2506" spans="1:21" x14ac:dyDescent="0.3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  <c r="U2506">
        <f>IF(ChurnData[[#This Row],[churn]]="yes",1,0)</f>
        <v>0</v>
      </c>
    </row>
    <row r="2507" spans="1:21" x14ac:dyDescent="0.3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  <c r="U2507">
        <f>IF(ChurnData[[#This Row],[churn]]="yes",1,0)</f>
        <v>0</v>
      </c>
    </row>
    <row r="2508" spans="1:21" x14ac:dyDescent="0.3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  <c r="U2508">
        <f>IF(ChurnData[[#This Row],[churn]]="yes",1,0)</f>
        <v>1</v>
      </c>
    </row>
    <row r="2509" spans="1:21" x14ac:dyDescent="0.3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  <c r="U2509">
        <f>IF(ChurnData[[#This Row],[churn]]="yes",1,0)</f>
        <v>0</v>
      </c>
    </row>
    <row r="2510" spans="1:21" x14ac:dyDescent="0.3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  <c r="U2510">
        <f>IF(ChurnData[[#This Row],[churn]]="yes",1,0)</f>
        <v>0</v>
      </c>
    </row>
    <row r="2511" spans="1:21" x14ac:dyDescent="0.3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  <c r="U2511">
        <f>IF(ChurnData[[#This Row],[churn]]="yes",1,0)</f>
        <v>1</v>
      </c>
    </row>
    <row r="2512" spans="1:21" x14ac:dyDescent="0.3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  <c r="U2512">
        <f>IF(ChurnData[[#This Row],[churn]]="yes",1,0)</f>
        <v>0</v>
      </c>
    </row>
    <row r="2513" spans="1:21" x14ac:dyDescent="0.3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  <c r="U2513">
        <f>IF(ChurnData[[#This Row],[churn]]="yes",1,0)</f>
        <v>0</v>
      </c>
    </row>
    <row r="2514" spans="1:21" x14ac:dyDescent="0.3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  <c r="U2514">
        <f>IF(ChurnData[[#This Row],[churn]]="yes",1,0)</f>
        <v>0</v>
      </c>
    </row>
    <row r="2515" spans="1:21" x14ac:dyDescent="0.3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  <c r="U2515">
        <f>IF(ChurnData[[#This Row],[churn]]="yes",1,0)</f>
        <v>1</v>
      </c>
    </row>
    <row r="2516" spans="1:21" x14ac:dyDescent="0.3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  <c r="U2516">
        <f>IF(ChurnData[[#This Row],[churn]]="yes",1,0)</f>
        <v>0</v>
      </c>
    </row>
    <row r="2517" spans="1:21" x14ac:dyDescent="0.3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  <c r="U2517">
        <f>IF(ChurnData[[#This Row],[churn]]="yes",1,0)</f>
        <v>1</v>
      </c>
    </row>
    <row r="2518" spans="1:21" x14ac:dyDescent="0.3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  <c r="U2518">
        <f>IF(ChurnData[[#This Row],[churn]]="yes",1,0)</f>
        <v>1</v>
      </c>
    </row>
    <row r="2519" spans="1:21" x14ac:dyDescent="0.3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  <c r="U2519">
        <f>IF(ChurnData[[#This Row],[churn]]="yes",1,0)</f>
        <v>0</v>
      </c>
    </row>
    <row r="2520" spans="1:21" x14ac:dyDescent="0.3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  <c r="U2520">
        <f>IF(ChurnData[[#This Row],[churn]]="yes",1,0)</f>
        <v>0</v>
      </c>
    </row>
    <row r="2521" spans="1:21" x14ac:dyDescent="0.3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  <c r="U2521">
        <f>IF(ChurnData[[#This Row],[churn]]="yes",1,0)</f>
        <v>0</v>
      </c>
    </row>
    <row r="2522" spans="1:21" x14ac:dyDescent="0.3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  <c r="U2522">
        <f>IF(ChurnData[[#This Row],[churn]]="yes",1,0)</f>
        <v>0</v>
      </c>
    </row>
    <row r="2523" spans="1:21" x14ac:dyDescent="0.3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  <c r="U2523">
        <f>IF(ChurnData[[#This Row],[churn]]="yes",1,0)</f>
        <v>0</v>
      </c>
    </row>
    <row r="2524" spans="1:21" x14ac:dyDescent="0.3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  <c r="U2524">
        <f>IF(ChurnData[[#This Row],[churn]]="yes",1,0)</f>
        <v>0</v>
      </c>
    </row>
    <row r="2525" spans="1:21" x14ac:dyDescent="0.3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  <c r="U2525">
        <f>IF(ChurnData[[#This Row],[churn]]="yes",1,0)</f>
        <v>1</v>
      </c>
    </row>
    <row r="2526" spans="1:21" x14ac:dyDescent="0.3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  <c r="U2526">
        <f>IF(ChurnData[[#This Row],[churn]]="yes",1,0)</f>
        <v>1</v>
      </c>
    </row>
    <row r="2527" spans="1:21" x14ac:dyDescent="0.3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  <c r="U2527">
        <f>IF(ChurnData[[#This Row],[churn]]="yes",1,0)</f>
        <v>0</v>
      </c>
    </row>
    <row r="2528" spans="1:21" x14ac:dyDescent="0.3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  <c r="U2528">
        <f>IF(ChurnData[[#This Row],[churn]]="yes",1,0)</f>
        <v>0</v>
      </c>
    </row>
    <row r="2529" spans="1:21" x14ac:dyDescent="0.3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  <c r="U2529">
        <f>IF(ChurnData[[#This Row],[churn]]="yes",1,0)</f>
        <v>0</v>
      </c>
    </row>
    <row r="2530" spans="1:21" x14ac:dyDescent="0.3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  <c r="U2530">
        <f>IF(ChurnData[[#This Row],[churn]]="yes",1,0)</f>
        <v>1</v>
      </c>
    </row>
    <row r="2531" spans="1:21" x14ac:dyDescent="0.3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  <c r="U2531">
        <f>IF(ChurnData[[#This Row],[churn]]="yes",1,0)</f>
        <v>0</v>
      </c>
    </row>
    <row r="2532" spans="1:21" x14ac:dyDescent="0.3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  <c r="U2532">
        <f>IF(ChurnData[[#This Row],[churn]]="yes",1,0)</f>
        <v>1</v>
      </c>
    </row>
    <row r="2533" spans="1:21" x14ac:dyDescent="0.3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  <c r="U2533">
        <f>IF(ChurnData[[#This Row],[churn]]="yes",1,0)</f>
        <v>0</v>
      </c>
    </row>
    <row r="2534" spans="1:21" x14ac:dyDescent="0.3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  <c r="U2534">
        <f>IF(ChurnData[[#This Row],[churn]]="yes",1,0)</f>
        <v>0</v>
      </c>
    </row>
    <row r="2535" spans="1:21" x14ac:dyDescent="0.3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  <c r="U2535">
        <f>IF(ChurnData[[#This Row],[churn]]="yes",1,0)</f>
        <v>0</v>
      </c>
    </row>
    <row r="2536" spans="1:21" x14ac:dyDescent="0.3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  <c r="U2536">
        <f>IF(ChurnData[[#This Row],[churn]]="yes",1,0)</f>
        <v>1</v>
      </c>
    </row>
    <row r="2537" spans="1:21" x14ac:dyDescent="0.3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  <c r="U2537">
        <f>IF(ChurnData[[#This Row],[churn]]="yes",1,0)</f>
        <v>0</v>
      </c>
    </row>
    <row r="2538" spans="1:21" x14ac:dyDescent="0.3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  <c r="U2538">
        <f>IF(ChurnData[[#This Row],[churn]]="yes",1,0)</f>
        <v>0</v>
      </c>
    </row>
    <row r="2539" spans="1:21" x14ac:dyDescent="0.3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  <c r="U2539">
        <f>IF(ChurnData[[#This Row],[churn]]="yes",1,0)</f>
        <v>0</v>
      </c>
    </row>
    <row r="2540" spans="1:21" x14ac:dyDescent="0.3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  <c r="U2540">
        <f>IF(ChurnData[[#This Row],[churn]]="yes",1,0)</f>
        <v>0</v>
      </c>
    </row>
    <row r="2541" spans="1:21" x14ac:dyDescent="0.3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  <c r="U2541">
        <f>IF(ChurnData[[#This Row],[churn]]="yes",1,0)</f>
        <v>0</v>
      </c>
    </row>
    <row r="2542" spans="1:21" x14ac:dyDescent="0.3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  <c r="U2542">
        <f>IF(ChurnData[[#This Row],[churn]]="yes",1,0)</f>
        <v>0</v>
      </c>
    </row>
    <row r="2543" spans="1:21" x14ac:dyDescent="0.3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  <c r="U2543">
        <f>IF(ChurnData[[#This Row],[churn]]="yes",1,0)</f>
        <v>1</v>
      </c>
    </row>
    <row r="2544" spans="1:21" x14ac:dyDescent="0.3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  <c r="U2544">
        <f>IF(ChurnData[[#This Row],[churn]]="yes",1,0)</f>
        <v>0</v>
      </c>
    </row>
    <row r="2545" spans="1:21" x14ac:dyDescent="0.3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  <c r="U2545">
        <f>IF(ChurnData[[#This Row],[churn]]="yes",1,0)</f>
        <v>0</v>
      </c>
    </row>
    <row r="2546" spans="1:21" x14ac:dyDescent="0.3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  <c r="U2546">
        <f>IF(ChurnData[[#This Row],[churn]]="yes",1,0)</f>
        <v>0</v>
      </c>
    </row>
    <row r="2547" spans="1:21" x14ac:dyDescent="0.3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  <c r="U2547">
        <f>IF(ChurnData[[#This Row],[churn]]="yes",1,0)</f>
        <v>0</v>
      </c>
    </row>
    <row r="2548" spans="1:21" x14ac:dyDescent="0.3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  <c r="U2548">
        <f>IF(ChurnData[[#This Row],[churn]]="yes",1,0)</f>
        <v>0</v>
      </c>
    </row>
    <row r="2549" spans="1:21" x14ac:dyDescent="0.3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  <c r="U2549">
        <f>IF(ChurnData[[#This Row],[churn]]="yes",1,0)</f>
        <v>0</v>
      </c>
    </row>
    <row r="2550" spans="1:21" x14ac:dyDescent="0.3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  <c r="U2550">
        <f>IF(ChurnData[[#This Row],[churn]]="yes",1,0)</f>
        <v>0</v>
      </c>
    </row>
    <row r="2551" spans="1:21" x14ac:dyDescent="0.3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  <c r="U2551">
        <f>IF(ChurnData[[#This Row],[churn]]="yes",1,0)</f>
        <v>0</v>
      </c>
    </row>
    <row r="2552" spans="1:21" x14ac:dyDescent="0.3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  <c r="U2552">
        <f>IF(ChurnData[[#This Row],[churn]]="yes",1,0)</f>
        <v>0</v>
      </c>
    </row>
    <row r="2553" spans="1:21" x14ac:dyDescent="0.3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  <c r="U2553">
        <f>IF(ChurnData[[#This Row],[churn]]="yes",1,0)</f>
        <v>0</v>
      </c>
    </row>
    <row r="2554" spans="1:21" x14ac:dyDescent="0.3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  <c r="U2554">
        <f>IF(ChurnData[[#This Row],[churn]]="yes",1,0)</f>
        <v>1</v>
      </c>
    </row>
    <row r="2555" spans="1:21" x14ac:dyDescent="0.3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  <c r="U2555">
        <f>IF(ChurnData[[#This Row],[churn]]="yes",1,0)</f>
        <v>0</v>
      </c>
    </row>
    <row r="2556" spans="1:21" x14ac:dyDescent="0.3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  <c r="U2556">
        <f>IF(ChurnData[[#This Row],[churn]]="yes",1,0)</f>
        <v>0</v>
      </c>
    </row>
    <row r="2557" spans="1:21" x14ac:dyDescent="0.3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  <c r="U2557">
        <f>IF(ChurnData[[#This Row],[churn]]="yes",1,0)</f>
        <v>0</v>
      </c>
    </row>
    <row r="2558" spans="1:21" x14ac:dyDescent="0.3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  <c r="U2558">
        <f>IF(ChurnData[[#This Row],[churn]]="yes",1,0)</f>
        <v>1</v>
      </c>
    </row>
    <row r="2559" spans="1:21" x14ac:dyDescent="0.3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  <c r="U2559">
        <f>IF(ChurnData[[#This Row],[churn]]="yes",1,0)</f>
        <v>0</v>
      </c>
    </row>
    <row r="2560" spans="1:21" x14ac:dyDescent="0.3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  <c r="U2560">
        <f>IF(ChurnData[[#This Row],[churn]]="yes",1,0)</f>
        <v>0</v>
      </c>
    </row>
    <row r="2561" spans="1:21" x14ac:dyDescent="0.3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  <c r="U2561">
        <f>IF(ChurnData[[#This Row],[churn]]="yes",1,0)</f>
        <v>0</v>
      </c>
    </row>
    <row r="2562" spans="1:21" x14ac:dyDescent="0.3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  <c r="U2562">
        <f>IF(ChurnData[[#This Row],[churn]]="yes",1,0)</f>
        <v>0</v>
      </c>
    </row>
    <row r="2563" spans="1:21" x14ac:dyDescent="0.3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  <c r="U2563">
        <f>IF(ChurnData[[#This Row],[churn]]="yes",1,0)</f>
        <v>0</v>
      </c>
    </row>
    <row r="2564" spans="1:21" x14ac:dyDescent="0.3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  <c r="U2564">
        <f>IF(ChurnData[[#This Row],[churn]]="yes",1,0)</f>
        <v>0</v>
      </c>
    </row>
    <row r="2565" spans="1:21" x14ac:dyDescent="0.3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  <c r="U2565">
        <f>IF(ChurnData[[#This Row],[churn]]="yes",1,0)</f>
        <v>0</v>
      </c>
    </row>
    <row r="2566" spans="1:21" x14ac:dyDescent="0.3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  <c r="U2566">
        <f>IF(ChurnData[[#This Row],[churn]]="yes",1,0)</f>
        <v>0</v>
      </c>
    </row>
    <row r="2567" spans="1:21" x14ac:dyDescent="0.3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  <c r="U2567">
        <f>IF(ChurnData[[#This Row],[churn]]="yes",1,0)</f>
        <v>0</v>
      </c>
    </row>
    <row r="2568" spans="1:21" x14ac:dyDescent="0.3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  <c r="U2568">
        <f>IF(ChurnData[[#This Row],[churn]]="yes",1,0)</f>
        <v>1</v>
      </c>
    </row>
    <row r="2569" spans="1:21" x14ac:dyDescent="0.3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  <c r="U2569">
        <f>IF(ChurnData[[#This Row],[churn]]="yes",1,0)</f>
        <v>0</v>
      </c>
    </row>
    <row r="2570" spans="1:21" x14ac:dyDescent="0.3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  <c r="U2570">
        <f>IF(ChurnData[[#This Row],[churn]]="yes",1,0)</f>
        <v>0</v>
      </c>
    </row>
    <row r="2571" spans="1:21" x14ac:dyDescent="0.3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  <c r="U2571">
        <f>IF(ChurnData[[#This Row],[churn]]="yes",1,0)</f>
        <v>0</v>
      </c>
    </row>
    <row r="2572" spans="1:21" x14ac:dyDescent="0.3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  <c r="U2572">
        <f>IF(ChurnData[[#This Row],[churn]]="yes",1,0)</f>
        <v>0</v>
      </c>
    </row>
    <row r="2573" spans="1:21" x14ac:dyDescent="0.3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  <c r="U2573">
        <f>IF(ChurnData[[#This Row],[churn]]="yes",1,0)</f>
        <v>0</v>
      </c>
    </row>
    <row r="2574" spans="1:21" x14ac:dyDescent="0.3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  <c r="U2574">
        <f>IF(ChurnData[[#This Row],[churn]]="yes",1,0)</f>
        <v>0</v>
      </c>
    </row>
    <row r="2575" spans="1:21" x14ac:dyDescent="0.3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  <c r="U2575">
        <f>IF(ChurnData[[#This Row],[churn]]="yes",1,0)</f>
        <v>0</v>
      </c>
    </row>
    <row r="2576" spans="1:21" x14ac:dyDescent="0.3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  <c r="U2576">
        <f>IF(ChurnData[[#This Row],[churn]]="yes",1,0)</f>
        <v>0</v>
      </c>
    </row>
    <row r="2577" spans="1:21" x14ac:dyDescent="0.3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  <c r="U2577">
        <f>IF(ChurnData[[#This Row],[churn]]="yes",1,0)</f>
        <v>0</v>
      </c>
    </row>
    <row r="2578" spans="1:21" x14ac:dyDescent="0.3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  <c r="U2578">
        <f>IF(ChurnData[[#This Row],[churn]]="yes",1,0)</f>
        <v>1</v>
      </c>
    </row>
    <row r="2579" spans="1:21" x14ac:dyDescent="0.3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  <c r="U2579">
        <f>IF(ChurnData[[#This Row],[churn]]="yes",1,0)</f>
        <v>0</v>
      </c>
    </row>
    <row r="2580" spans="1:21" x14ac:dyDescent="0.3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  <c r="U2580">
        <f>IF(ChurnData[[#This Row],[churn]]="yes",1,0)</f>
        <v>0</v>
      </c>
    </row>
    <row r="2581" spans="1:21" x14ac:dyDescent="0.3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  <c r="U2581">
        <f>IF(ChurnData[[#This Row],[churn]]="yes",1,0)</f>
        <v>0</v>
      </c>
    </row>
    <row r="2582" spans="1:21" x14ac:dyDescent="0.3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  <c r="U2582">
        <f>IF(ChurnData[[#This Row],[churn]]="yes",1,0)</f>
        <v>1</v>
      </c>
    </row>
    <row r="2583" spans="1:21" x14ac:dyDescent="0.3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  <c r="U2583">
        <f>IF(ChurnData[[#This Row],[churn]]="yes",1,0)</f>
        <v>0</v>
      </c>
    </row>
    <row r="2584" spans="1:21" x14ac:dyDescent="0.3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  <c r="U2584">
        <f>IF(ChurnData[[#This Row],[churn]]="yes",1,0)</f>
        <v>0</v>
      </c>
    </row>
    <row r="2585" spans="1:21" x14ac:dyDescent="0.3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  <c r="U2585">
        <f>IF(ChurnData[[#This Row],[churn]]="yes",1,0)</f>
        <v>0</v>
      </c>
    </row>
    <row r="2586" spans="1:21" x14ac:dyDescent="0.3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  <c r="U2586">
        <f>IF(ChurnData[[#This Row],[churn]]="yes",1,0)</f>
        <v>0</v>
      </c>
    </row>
    <row r="2587" spans="1:21" x14ac:dyDescent="0.3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  <c r="U2587">
        <f>IF(ChurnData[[#This Row],[churn]]="yes",1,0)</f>
        <v>0</v>
      </c>
    </row>
    <row r="2588" spans="1:21" x14ac:dyDescent="0.3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  <c r="U2588">
        <f>IF(ChurnData[[#This Row],[churn]]="yes",1,0)</f>
        <v>0</v>
      </c>
    </row>
    <row r="2589" spans="1:21" x14ac:dyDescent="0.3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  <c r="U2589">
        <f>IF(ChurnData[[#This Row],[churn]]="yes",1,0)</f>
        <v>0</v>
      </c>
    </row>
    <row r="2590" spans="1:21" x14ac:dyDescent="0.3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  <c r="U2590">
        <f>IF(ChurnData[[#This Row],[churn]]="yes",1,0)</f>
        <v>0</v>
      </c>
    </row>
    <row r="2591" spans="1:21" x14ac:dyDescent="0.3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  <c r="U2591">
        <f>IF(ChurnData[[#This Row],[churn]]="yes",1,0)</f>
        <v>0</v>
      </c>
    </row>
    <row r="2592" spans="1:21" x14ac:dyDescent="0.3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  <c r="U2592">
        <f>IF(ChurnData[[#This Row],[churn]]="yes",1,0)</f>
        <v>0</v>
      </c>
    </row>
    <row r="2593" spans="1:21" x14ac:dyDescent="0.3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  <c r="U2593">
        <f>IF(ChurnData[[#This Row],[churn]]="yes",1,0)</f>
        <v>0</v>
      </c>
    </row>
    <row r="2594" spans="1:21" x14ac:dyDescent="0.3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  <c r="U2594">
        <f>IF(ChurnData[[#This Row],[churn]]="yes",1,0)</f>
        <v>0</v>
      </c>
    </row>
    <row r="2595" spans="1:21" x14ac:dyDescent="0.3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  <c r="U2595">
        <f>IF(ChurnData[[#This Row],[churn]]="yes",1,0)</f>
        <v>1</v>
      </c>
    </row>
    <row r="2596" spans="1:21" x14ac:dyDescent="0.3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  <c r="U2596">
        <f>IF(ChurnData[[#This Row],[churn]]="yes",1,0)</f>
        <v>0</v>
      </c>
    </row>
    <row r="2597" spans="1:21" x14ac:dyDescent="0.3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  <c r="U2597">
        <f>IF(ChurnData[[#This Row],[churn]]="yes",1,0)</f>
        <v>0</v>
      </c>
    </row>
    <row r="2598" spans="1:21" x14ac:dyDescent="0.3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  <c r="U2598">
        <f>IF(ChurnData[[#This Row],[churn]]="yes",1,0)</f>
        <v>0</v>
      </c>
    </row>
    <row r="2599" spans="1:21" x14ac:dyDescent="0.3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  <c r="U2599">
        <f>IF(ChurnData[[#This Row],[churn]]="yes",1,0)</f>
        <v>0</v>
      </c>
    </row>
    <row r="2600" spans="1:21" x14ac:dyDescent="0.3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  <c r="U2600">
        <f>IF(ChurnData[[#This Row],[churn]]="yes",1,0)</f>
        <v>1</v>
      </c>
    </row>
    <row r="2601" spans="1:21" x14ac:dyDescent="0.3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  <c r="U2601">
        <f>IF(ChurnData[[#This Row],[churn]]="yes",1,0)</f>
        <v>0</v>
      </c>
    </row>
    <row r="2602" spans="1:21" x14ac:dyDescent="0.3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  <c r="U2602">
        <f>IF(ChurnData[[#This Row],[churn]]="yes",1,0)</f>
        <v>1</v>
      </c>
    </row>
    <row r="2603" spans="1:21" x14ac:dyDescent="0.3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  <c r="U2603">
        <f>IF(ChurnData[[#This Row],[churn]]="yes",1,0)</f>
        <v>0</v>
      </c>
    </row>
    <row r="2604" spans="1:21" x14ac:dyDescent="0.3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  <c r="U2604">
        <f>IF(ChurnData[[#This Row],[churn]]="yes",1,0)</f>
        <v>0</v>
      </c>
    </row>
    <row r="2605" spans="1:21" x14ac:dyDescent="0.3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  <c r="U2605">
        <f>IF(ChurnData[[#This Row],[churn]]="yes",1,0)</f>
        <v>0</v>
      </c>
    </row>
    <row r="2606" spans="1:21" x14ac:dyDescent="0.3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  <c r="U2606">
        <f>IF(ChurnData[[#This Row],[churn]]="yes",1,0)</f>
        <v>0</v>
      </c>
    </row>
    <row r="2607" spans="1:21" x14ac:dyDescent="0.3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  <c r="U2607">
        <f>IF(ChurnData[[#This Row],[churn]]="yes",1,0)</f>
        <v>0</v>
      </c>
    </row>
    <row r="2608" spans="1:21" x14ac:dyDescent="0.3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  <c r="U2608">
        <f>IF(ChurnData[[#This Row],[churn]]="yes",1,0)</f>
        <v>1</v>
      </c>
    </row>
    <row r="2609" spans="1:21" x14ac:dyDescent="0.3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  <c r="U2609">
        <f>IF(ChurnData[[#This Row],[churn]]="yes",1,0)</f>
        <v>0</v>
      </c>
    </row>
    <row r="2610" spans="1:21" x14ac:dyDescent="0.3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  <c r="U2610">
        <f>IF(ChurnData[[#This Row],[churn]]="yes",1,0)</f>
        <v>0</v>
      </c>
    </row>
    <row r="2611" spans="1:21" x14ac:dyDescent="0.3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  <c r="U2611">
        <f>IF(ChurnData[[#This Row],[churn]]="yes",1,0)</f>
        <v>0</v>
      </c>
    </row>
    <row r="2612" spans="1:21" x14ac:dyDescent="0.3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  <c r="U2612">
        <f>IF(ChurnData[[#This Row],[churn]]="yes",1,0)</f>
        <v>0</v>
      </c>
    </row>
    <row r="2613" spans="1:21" x14ac:dyDescent="0.3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  <c r="U2613">
        <f>IF(ChurnData[[#This Row],[churn]]="yes",1,0)</f>
        <v>0</v>
      </c>
    </row>
    <row r="2614" spans="1:21" x14ac:dyDescent="0.3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  <c r="U2614">
        <f>IF(ChurnData[[#This Row],[churn]]="yes",1,0)</f>
        <v>0</v>
      </c>
    </row>
    <row r="2615" spans="1:21" x14ac:dyDescent="0.3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  <c r="U2615">
        <f>IF(ChurnData[[#This Row],[churn]]="yes",1,0)</f>
        <v>0</v>
      </c>
    </row>
    <row r="2616" spans="1:21" x14ac:dyDescent="0.3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  <c r="U2616">
        <f>IF(ChurnData[[#This Row],[churn]]="yes",1,0)</f>
        <v>0</v>
      </c>
    </row>
    <row r="2617" spans="1:21" x14ac:dyDescent="0.3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  <c r="U2617">
        <f>IF(ChurnData[[#This Row],[churn]]="yes",1,0)</f>
        <v>0</v>
      </c>
    </row>
    <row r="2618" spans="1:21" x14ac:dyDescent="0.3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  <c r="U2618">
        <f>IF(ChurnData[[#This Row],[churn]]="yes",1,0)</f>
        <v>0</v>
      </c>
    </row>
    <row r="2619" spans="1:21" x14ac:dyDescent="0.3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  <c r="U2619">
        <f>IF(ChurnData[[#This Row],[churn]]="yes",1,0)</f>
        <v>0</v>
      </c>
    </row>
    <row r="2620" spans="1:21" x14ac:dyDescent="0.3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  <c r="U2620">
        <f>IF(ChurnData[[#This Row],[churn]]="yes",1,0)</f>
        <v>0</v>
      </c>
    </row>
    <row r="2621" spans="1:21" x14ac:dyDescent="0.3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  <c r="U2621">
        <f>IF(ChurnData[[#This Row],[churn]]="yes",1,0)</f>
        <v>1</v>
      </c>
    </row>
    <row r="2622" spans="1:21" x14ac:dyDescent="0.3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  <c r="U2622">
        <f>IF(ChurnData[[#This Row],[churn]]="yes",1,0)</f>
        <v>0</v>
      </c>
    </row>
    <row r="2623" spans="1:21" x14ac:dyDescent="0.3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  <c r="U2623">
        <f>IF(ChurnData[[#This Row],[churn]]="yes",1,0)</f>
        <v>0</v>
      </c>
    </row>
    <row r="2624" spans="1:21" x14ac:dyDescent="0.3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  <c r="U2624">
        <f>IF(ChurnData[[#This Row],[churn]]="yes",1,0)</f>
        <v>0</v>
      </c>
    </row>
    <row r="2625" spans="1:21" x14ac:dyDescent="0.3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  <c r="U2625">
        <f>IF(ChurnData[[#This Row],[churn]]="yes",1,0)</f>
        <v>0</v>
      </c>
    </row>
    <row r="2626" spans="1:21" x14ac:dyDescent="0.3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  <c r="U2626">
        <f>IF(ChurnData[[#This Row],[churn]]="yes",1,0)</f>
        <v>0</v>
      </c>
    </row>
    <row r="2627" spans="1:21" x14ac:dyDescent="0.3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  <c r="U2627">
        <f>IF(ChurnData[[#This Row],[churn]]="yes",1,0)</f>
        <v>0</v>
      </c>
    </row>
    <row r="2628" spans="1:21" x14ac:dyDescent="0.3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  <c r="U2628">
        <f>IF(ChurnData[[#This Row],[churn]]="yes",1,0)</f>
        <v>0</v>
      </c>
    </row>
    <row r="2629" spans="1:21" x14ac:dyDescent="0.3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  <c r="U2629">
        <f>IF(ChurnData[[#This Row],[churn]]="yes",1,0)</f>
        <v>0</v>
      </c>
    </row>
    <row r="2630" spans="1:21" x14ac:dyDescent="0.3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  <c r="U2630">
        <f>IF(ChurnData[[#This Row],[churn]]="yes",1,0)</f>
        <v>0</v>
      </c>
    </row>
    <row r="2631" spans="1:21" x14ac:dyDescent="0.3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  <c r="U2631">
        <f>IF(ChurnData[[#This Row],[churn]]="yes",1,0)</f>
        <v>0</v>
      </c>
    </row>
    <row r="2632" spans="1:21" x14ac:dyDescent="0.3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  <c r="U2632">
        <f>IF(ChurnData[[#This Row],[churn]]="yes",1,0)</f>
        <v>0</v>
      </c>
    </row>
    <row r="2633" spans="1:21" x14ac:dyDescent="0.3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  <c r="U2633">
        <f>IF(ChurnData[[#This Row],[churn]]="yes",1,0)</f>
        <v>0</v>
      </c>
    </row>
    <row r="2634" spans="1:21" x14ac:dyDescent="0.3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  <c r="U2634">
        <f>IF(ChurnData[[#This Row],[churn]]="yes",1,0)</f>
        <v>0</v>
      </c>
    </row>
    <row r="2635" spans="1:21" x14ac:dyDescent="0.3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  <c r="U2635">
        <f>IF(ChurnData[[#This Row],[churn]]="yes",1,0)</f>
        <v>0</v>
      </c>
    </row>
    <row r="2636" spans="1:21" x14ac:dyDescent="0.3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  <c r="U2636">
        <f>IF(ChurnData[[#This Row],[churn]]="yes",1,0)</f>
        <v>0</v>
      </c>
    </row>
    <row r="2637" spans="1:21" x14ac:dyDescent="0.3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  <c r="U2637">
        <f>IF(ChurnData[[#This Row],[churn]]="yes",1,0)</f>
        <v>0</v>
      </c>
    </row>
    <row r="2638" spans="1:21" x14ac:dyDescent="0.3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  <c r="U2638">
        <f>IF(ChurnData[[#This Row],[churn]]="yes",1,0)</f>
        <v>1</v>
      </c>
    </row>
    <row r="2639" spans="1:21" x14ac:dyDescent="0.3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  <c r="U2639">
        <f>IF(ChurnData[[#This Row],[churn]]="yes",1,0)</f>
        <v>1</v>
      </c>
    </row>
    <row r="2640" spans="1:21" x14ac:dyDescent="0.3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  <c r="U2640">
        <f>IF(ChurnData[[#This Row],[churn]]="yes",1,0)</f>
        <v>0</v>
      </c>
    </row>
    <row r="2641" spans="1:21" x14ac:dyDescent="0.3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  <c r="U2641">
        <f>IF(ChurnData[[#This Row],[churn]]="yes",1,0)</f>
        <v>0</v>
      </c>
    </row>
    <row r="2642" spans="1:21" x14ac:dyDescent="0.3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  <c r="U2642">
        <f>IF(ChurnData[[#This Row],[churn]]="yes",1,0)</f>
        <v>0</v>
      </c>
    </row>
    <row r="2643" spans="1:21" x14ac:dyDescent="0.3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  <c r="U2643">
        <f>IF(ChurnData[[#This Row],[churn]]="yes",1,0)</f>
        <v>0</v>
      </c>
    </row>
    <row r="2644" spans="1:21" x14ac:dyDescent="0.3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  <c r="U2644">
        <f>IF(ChurnData[[#This Row],[churn]]="yes",1,0)</f>
        <v>0</v>
      </c>
    </row>
    <row r="2645" spans="1:21" x14ac:dyDescent="0.3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  <c r="U2645">
        <f>IF(ChurnData[[#This Row],[churn]]="yes",1,0)</f>
        <v>0</v>
      </c>
    </row>
    <row r="2646" spans="1:21" x14ac:dyDescent="0.3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  <c r="U2646">
        <f>IF(ChurnData[[#This Row],[churn]]="yes",1,0)</f>
        <v>0</v>
      </c>
    </row>
    <row r="2647" spans="1:21" x14ac:dyDescent="0.3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  <c r="U2647">
        <f>IF(ChurnData[[#This Row],[churn]]="yes",1,0)</f>
        <v>0</v>
      </c>
    </row>
    <row r="2648" spans="1:21" x14ac:dyDescent="0.3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  <c r="U2648">
        <f>IF(ChurnData[[#This Row],[churn]]="yes",1,0)</f>
        <v>0</v>
      </c>
    </row>
    <row r="2649" spans="1:21" x14ac:dyDescent="0.3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  <c r="U2649">
        <f>IF(ChurnData[[#This Row],[churn]]="yes",1,0)</f>
        <v>0</v>
      </c>
    </row>
    <row r="2650" spans="1:21" x14ac:dyDescent="0.3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  <c r="U2650">
        <f>IF(ChurnData[[#This Row],[churn]]="yes",1,0)</f>
        <v>0</v>
      </c>
    </row>
    <row r="2651" spans="1:21" x14ac:dyDescent="0.3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  <c r="U2651">
        <f>IF(ChurnData[[#This Row],[churn]]="yes",1,0)</f>
        <v>1</v>
      </c>
    </row>
    <row r="2652" spans="1:21" x14ac:dyDescent="0.3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  <c r="U2652">
        <f>IF(ChurnData[[#This Row],[churn]]="yes",1,0)</f>
        <v>0</v>
      </c>
    </row>
    <row r="2653" spans="1:21" x14ac:dyDescent="0.3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  <c r="U2653">
        <f>IF(ChurnData[[#This Row],[churn]]="yes",1,0)</f>
        <v>1</v>
      </c>
    </row>
    <row r="2654" spans="1:21" x14ac:dyDescent="0.3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  <c r="U2654">
        <f>IF(ChurnData[[#This Row],[churn]]="yes",1,0)</f>
        <v>0</v>
      </c>
    </row>
    <row r="2655" spans="1:21" x14ac:dyDescent="0.3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  <c r="U2655">
        <f>IF(ChurnData[[#This Row],[churn]]="yes",1,0)</f>
        <v>0</v>
      </c>
    </row>
    <row r="2656" spans="1:21" x14ac:dyDescent="0.3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  <c r="U2656">
        <f>IF(ChurnData[[#This Row],[churn]]="yes",1,0)</f>
        <v>0</v>
      </c>
    </row>
    <row r="2657" spans="1:21" x14ac:dyDescent="0.3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  <c r="U2657">
        <f>IF(ChurnData[[#This Row],[churn]]="yes",1,0)</f>
        <v>1</v>
      </c>
    </row>
    <row r="2658" spans="1:21" x14ac:dyDescent="0.3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  <c r="U2658">
        <f>IF(ChurnData[[#This Row],[churn]]="yes",1,0)</f>
        <v>0</v>
      </c>
    </row>
    <row r="2659" spans="1:21" x14ac:dyDescent="0.3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  <c r="U2659">
        <f>IF(ChurnData[[#This Row],[churn]]="yes",1,0)</f>
        <v>0</v>
      </c>
    </row>
    <row r="2660" spans="1:21" x14ac:dyDescent="0.3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  <c r="U2660">
        <f>IF(ChurnData[[#This Row],[churn]]="yes",1,0)</f>
        <v>0</v>
      </c>
    </row>
    <row r="2661" spans="1:21" x14ac:dyDescent="0.3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  <c r="U2661">
        <f>IF(ChurnData[[#This Row],[churn]]="yes",1,0)</f>
        <v>0</v>
      </c>
    </row>
    <row r="2662" spans="1:21" x14ac:dyDescent="0.3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  <c r="U2662">
        <f>IF(ChurnData[[#This Row],[churn]]="yes",1,0)</f>
        <v>0</v>
      </c>
    </row>
    <row r="2663" spans="1:21" x14ac:dyDescent="0.3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  <c r="U2663">
        <f>IF(ChurnData[[#This Row],[churn]]="yes",1,0)</f>
        <v>0</v>
      </c>
    </row>
    <row r="2664" spans="1:21" x14ac:dyDescent="0.3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  <c r="U2664">
        <f>IF(ChurnData[[#This Row],[churn]]="yes",1,0)</f>
        <v>0</v>
      </c>
    </row>
    <row r="2665" spans="1:21" x14ac:dyDescent="0.3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  <c r="U2665">
        <f>IF(ChurnData[[#This Row],[churn]]="yes",1,0)</f>
        <v>0</v>
      </c>
    </row>
    <row r="2666" spans="1:21" x14ac:dyDescent="0.3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  <c r="U2666">
        <f>IF(ChurnData[[#This Row],[churn]]="yes",1,0)</f>
        <v>0</v>
      </c>
    </row>
    <row r="2667" spans="1:21" x14ac:dyDescent="0.3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  <c r="U2667">
        <f>IF(ChurnData[[#This Row],[churn]]="yes",1,0)</f>
        <v>0</v>
      </c>
    </row>
    <row r="2668" spans="1:21" x14ac:dyDescent="0.3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  <c r="U2668">
        <f>IF(ChurnData[[#This Row],[churn]]="yes",1,0)</f>
        <v>0</v>
      </c>
    </row>
    <row r="2669" spans="1:21" x14ac:dyDescent="0.3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  <c r="U2669">
        <f>IF(ChurnData[[#This Row],[churn]]="yes",1,0)</f>
        <v>1</v>
      </c>
    </row>
    <row r="2670" spans="1:21" x14ac:dyDescent="0.3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  <c r="U2670">
        <f>IF(ChurnData[[#This Row],[churn]]="yes",1,0)</f>
        <v>0</v>
      </c>
    </row>
    <row r="2671" spans="1:21" x14ac:dyDescent="0.3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  <c r="U2671">
        <f>IF(ChurnData[[#This Row],[churn]]="yes",1,0)</f>
        <v>0</v>
      </c>
    </row>
    <row r="2672" spans="1:21" x14ac:dyDescent="0.3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  <c r="U2672">
        <f>IF(ChurnData[[#This Row],[churn]]="yes",1,0)</f>
        <v>1</v>
      </c>
    </row>
    <row r="2673" spans="1:21" x14ac:dyDescent="0.3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  <c r="U2673">
        <f>IF(ChurnData[[#This Row],[churn]]="yes",1,0)</f>
        <v>1</v>
      </c>
    </row>
    <row r="2674" spans="1:21" x14ac:dyDescent="0.3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  <c r="U2674">
        <f>IF(ChurnData[[#This Row],[churn]]="yes",1,0)</f>
        <v>0</v>
      </c>
    </row>
    <row r="2675" spans="1:21" x14ac:dyDescent="0.3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  <c r="U2675">
        <f>IF(ChurnData[[#This Row],[churn]]="yes",1,0)</f>
        <v>0</v>
      </c>
    </row>
    <row r="2676" spans="1:21" x14ac:dyDescent="0.3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  <c r="U2676">
        <f>IF(ChurnData[[#This Row],[churn]]="yes",1,0)</f>
        <v>0</v>
      </c>
    </row>
    <row r="2677" spans="1:21" x14ac:dyDescent="0.3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  <c r="U2677">
        <f>IF(ChurnData[[#This Row],[churn]]="yes",1,0)</f>
        <v>0</v>
      </c>
    </row>
    <row r="2678" spans="1:21" x14ac:dyDescent="0.3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  <c r="U2678">
        <f>IF(ChurnData[[#This Row],[churn]]="yes",1,0)</f>
        <v>0</v>
      </c>
    </row>
    <row r="2679" spans="1:21" x14ac:dyDescent="0.3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  <c r="U2679">
        <f>IF(ChurnData[[#This Row],[churn]]="yes",1,0)</f>
        <v>1</v>
      </c>
    </row>
    <row r="2680" spans="1:21" x14ac:dyDescent="0.3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  <c r="U2680">
        <f>IF(ChurnData[[#This Row],[churn]]="yes",1,0)</f>
        <v>0</v>
      </c>
    </row>
    <row r="2681" spans="1:21" x14ac:dyDescent="0.3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  <c r="U2681">
        <f>IF(ChurnData[[#This Row],[churn]]="yes",1,0)</f>
        <v>0</v>
      </c>
    </row>
    <row r="2682" spans="1:21" x14ac:dyDescent="0.3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  <c r="U2682">
        <f>IF(ChurnData[[#This Row],[churn]]="yes",1,0)</f>
        <v>0</v>
      </c>
    </row>
    <row r="2683" spans="1:21" x14ac:dyDescent="0.3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  <c r="U2683">
        <f>IF(ChurnData[[#This Row],[churn]]="yes",1,0)</f>
        <v>0</v>
      </c>
    </row>
    <row r="2684" spans="1:21" x14ac:dyDescent="0.3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  <c r="U2684">
        <f>IF(ChurnData[[#This Row],[churn]]="yes",1,0)</f>
        <v>0</v>
      </c>
    </row>
    <row r="2685" spans="1:21" x14ac:dyDescent="0.3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  <c r="U2685">
        <f>IF(ChurnData[[#This Row],[churn]]="yes",1,0)</f>
        <v>0</v>
      </c>
    </row>
    <row r="2686" spans="1:21" x14ac:dyDescent="0.3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  <c r="U2686">
        <f>IF(ChurnData[[#This Row],[churn]]="yes",1,0)</f>
        <v>0</v>
      </c>
    </row>
    <row r="2687" spans="1:21" x14ac:dyDescent="0.3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  <c r="U2687">
        <f>IF(ChurnData[[#This Row],[churn]]="yes",1,0)</f>
        <v>1</v>
      </c>
    </row>
    <row r="2688" spans="1:21" x14ac:dyDescent="0.3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  <c r="U2688">
        <f>IF(ChurnData[[#This Row],[churn]]="yes",1,0)</f>
        <v>1</v>
      </c>
    </row>
    <row r="2689" spans="1:21" x14ac:dyDescent="0.3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  <c r="U2689">
        <f>IF(ChurnData[[#This Row],[churn]]="yes",1,0)</f>
        <v>0</v>
      </c>
    </row>
    <row r="2690" spans="1:21" x14ac:dyDescent="0.3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  <c r="U2690">
        <f>IF(ChurnData[[#This Row],[churn]]="yes",1,0)</f>
        <v>0</v>
      </c>
    </row>
    <row r="2691" spans="1:21" x14ac:dyDescent="0.3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  <c r="U2691">
        <f>IF(ChurnData[[#This Row],[churn]]="yes",1,0)</f>
        <v>0</v>
      </c>
    </row>
    <row r="2692" spans="1:21" x14ac:dyDescent="0.3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  <c r="U2692">
        <f>IF(ChurnData[[#This Row],[churn]]="yes",1,0)</f>
        <v>0</v>
      </c>
    </row>
    <row r="2693" spans="1:21" x14ac:dyDescent="0.3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  <c r="U2693">
        <f>IF(ChurnData[[#This Row],[churn]]="yes",1,0)</f>
        <v>0</v>
      </c>
    </row>
    <row r="2694" spans="1:21" x14ac:dyDescent="0.3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  <c r="U2694">
        <f>IF(ChurnData[[#This Row],[churn]]="yes",1,0)</f>
        <v>0</v>
      </c>
    </row>
    <row r="2695" spans="1:21" x14ac:dyDescent="0.3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  <c r="U2695">
        <f>IF(ChurnData[[#This Row],[churn]]="yes",1,0)</f>
        <v>0</v>
      </c>
    </row>
    <row r="2696" spans="1:21" x14ac:dyDescent="0.3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  <c r="U2696">
        <f>IF(ChurnData[[#This Row],[churn]]="yes",1,0)</f>
        <v>0</v>
      </c>
    </row>
    <row r="2697" spans="1:21" x14ac:dyDescent="0.3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  <c r="U2697">
        <f>IF(ChurnData[[#This Row],[churn]]="yes",1,0)</f>
        <v>0</v>
      </c>
    </row>
    <row r="2698" spans="1:21" x14ac:dyDescent="0.3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  <c r="U2698">
        <f>IF(ChurnData[[#This Row],[churn]]="yes",1,0)</f>
        <v>0</v>
      </c>
    </row>
    <row r="2699" spans="1:21" x14ac:dyDescent="0.3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  <c r="U2699">
        <f>IF(ChurnData[[#This Row],[churn]]="yes",1,0)</f>
        <v>0</v>
      </c>
    </row>
    <row r="2700" spans="1:21" x14ac:dyDescent="0.3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  <c r="U2700">
        <f>IF(ChurnData[[#This Row],[churn]]="yes",1,0)</f>
        <v>0</v>
      </c>
    </row>
    <row r="2701" spans="1:21" x14ac:dyDescent="0.3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  <c r="U2701">
        <f>IF(ChurnData[[#This Row],[churn]]="yes",1,0)</f>
        <v>0</v>
      </c>
    </row>
    <row r="2702" spans="1:21" x14ac:dyDescent="0.3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  <c r="U2702">
        <f>IF(ChurnData[[#This Row],[churn]]="yes",1,0)</f>
        <v>0</v>
      </c>
    </row>
    <row r="2703" spans="1:21" x14ac:dyDescent="0.3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  <c r="U2703">
        <f>IF(ChurnData[[#This Row],[churn]]="yes",1,0)</f>
        <v>0</v>
      </c>
    </row>
    <row r="2704" spans="1:21" x14ac:dyDescent="0.3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  <c r="U2704">
        <f>IF(ChurnData[[#This Row],[churn]]="yes",1,0)</f>
        <v>0</v>
      </c>
    </row>
    <row r="2705" spans="1:21" x14ac:dyDescent="0.3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  <c r="U2705">
        <f>IF(ChurnData[[#This Row],[churn]]="yes",1,0)</f>
        <v>1</v>
      </c>
    </row>
    <row r="2706" spans="1:21" x14ac:dyDescent="0.3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  <c r="U2706">
        <f>IF(ChurnData[[#This Row],[churn]]="yes",1,0)</f>
        <v>1</v>
      </c>
    </row>
    <row r="2707" spans="1:21" x14ac:dyDescent="0.3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  <c r="U2707">
        <f>IF(ChurnData[[#This Row],[churn]]="yes",1,0)</f>
        <v>1</v>
      </c>
    </row>
    <row r="2708" spans="1:21" x14ac:dyDescent="0.3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  <c r="U2708">
        <f>IF(ChurnData[[#This Row],[churn]]="yes",1,0)</f>
        <v>0</v>
      </c>
    </row>
    <row r="2709" spans="1:21" x14ac:dyDescent="0.3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  <c r="U2709">
        <f>IF(ChurnData[[#This Row],[churn]]="yes",1,0)</f>
        <v>0</v>
      </c>
    </row>
    <row r="2710" spans="1:21" x14ac:dyDescent="0.3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  <c r="U2710">
        <f>IF(ChurnData[[#This Row],[churn]]="yes",1,0)</f>
        <v>0</v>
      </c>
    </row>
    <row r="2711" spans="1:21" x14ac:dyDescent="0.3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  <c r="U2711">
        <f>IF(ChurnData[[#This Row],[churn]]="yes",1,0)</f>
        <v>0</v>
      </c>
    </row>
    <row r="2712" spans="1:21" x14ac:dyDescent="0.3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  <c r="U2712">
        <f>IF(ChurnData[[#This Row],[churn]]="yes",1,0)</f>
        <v>0</v>
      </c>
    </row>
    <row r="2713" spans="1:21" x14ac:dyDescent="0.3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  <c r="U2713">
        <f>IF(ChurnData[[#This Row],[churn]]="yes",1,0)</f>
        <v>0</v>
      </c>
    </row>
    <row r="2714" spans="1:21" x14ac:dyDescent="0.3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  <c r="U2714">
        <f>IF(ChurnData[[#This Row],[churn]]="yes",1,0)</f>
        <v>0</v>
      </c>
    </row>
    <row r="2715" spans="1:21" x14ac:dyDescent="0.3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  <c r="U2715">
        <f>IF(ChurnData[[#This Row],[churn]]="yes",1,0)</f>
        <v>0</v>
      </c>
    </row>
    <row r="2716" spans="1:21" x14ac:dyDescent="0.3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  <c r="U2716">
        <f>IF(ChurnData[[#This Row],[churn]]="yes",1,0)</f>
        <v>0</v>
      </c>
    </row>
    <row r="2717" spans="1:21" x14ac:dyDescent="0.3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  <c r="U2717">
        <f>IF(ChurnData[[#This Row],[churn]]="yes",1,0)</f>
        <v>0</v>
      </c>
    </row>
    <row r="2718" spans="1:21" x14ac:dyDescent="0.3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  <c r="U2718">
        <f>IF(ChurnData[[#This Row],[churn]]="yes",1,0)</f>
        <v>1</v>
      </c>
    </row>
    <row r="2719" spans="1:21" x14ac:dyDescent="0.3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  <c r="U2719">
        <f>IF(ChurnData[[#This Row],[churn]]="yes",1,0)</f>
        <v>0</v>
      </c>
    </row>
    <row r="2720" spans="1:21" x14ac:dyDescent="0.3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  <c r="U2720">
        <f>IF(ChurnData[[#This Row],[churn]]="yes",1,0)</f>
        <v>0</v>
      </c>
    </row>
    <row r="2721" spans="1:21" x14ac:dyDescent="0.3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  <c r="U2721">
        <f>IF(ChurnData[[#This Row],[churn]]="yes",1,0)</f>
        <v>0</v>
      </c>
    </row>
    <row r="2722" spans="1:21" x14ac:dyDescent="0.3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  <c r="U2722">
        <f>IF(ChurnData[[#This Row],[churn]]="yes",1,0)</f>
        <v>0</v>
      </c>
    </row>
    <row r="2723" spans="1:21" x14ac:dyDescent="0.3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  <c r="U2723">
        <f>IF(ChurnData[[#This Row],[churn]]="yes",1,0)</f>
        <v>0</v>
      </c>
    </row>
    <row r="2724" spans="1:21" x14ac:dyDescent="0.3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  <c r="U2724">
        <f>IF(ChurnData[[#This Row],[churn]]="yes",1,0)</f>
        <v>0</v>
      </c>
    </row>
    <row r="2725" spans="1:21" x14ac:dyDescent="0.3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  <c r="U2725">
        <f>IF(ChurnData[[#This Row],[churn]]="yes",1,0)</f>
        <v>0</v>
      </c>
    </row>
    <row r="2726" spans="1:21" x14ac:dyDescent="0.3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  <c r="U2726">
        <f>IF(ChurnData[[#This Row],[churn]]="yes",1,0)</f>
        <v>0</v>
      </c>
    </row>
    <row r="2727" spans="1:21" x14ac:dyDescent="0.3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  <c r="U2727">
        <f>IF(ChurnData[[#This Row],[churn]]="yes",1,0)</f>
        <v>0</v>
      </c>
    </row>
    <row r="2728" spans="1:21" x14ac:dyDescent="0.3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  <c r="U2728">
        <f>IF(ChurnData[[#This Row],[churn]]="yes",1,0)</f>
        <v>0</v>
      </c>
    </row>
    <row r="2729" spans="1:21" x14ac:dyDescent="0.3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  <c r="U2729">
        <f>IF(ChurnData[[#This Row],[churn]]="yes",1,0)</f>
        <v>0</v>
      </c>
    </row>
    <row r="2730" spans="1:21" x14ac:dyDescent="0.3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  <c r="U2730">
        <f>IF(ChurnData[[#This Row],[churn]]="yes",1,0)</f>
        <v>0</v>
      </c>
    </row>
    <row r="2731" spans="1:21" x14ac:dyDescent="0.3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  <c r="U2731">
        <f>IF(ChurnData[[#This Row],[churn]]="yes",1,0)</f>
        <v>0</v>
      </c>
    </row>
    <row r="2732" spans="1:21" x14ac:dyDescent="0.3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  <c r="U2732">
        <f>IF(ChurnData[[#This Row],[churn]]="yes",1,0)</f>
        <v>0</v>
      </c>
    </row>
    <row r="2733" spans="1:21" x14ac:dyDescent="0.3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  <c r="U2733">
        <f>IF(ChurnData[[#This Row],[churn]]="yes",1,0)</f>
        <v>0</v>
      </c>
    </row>
    <row r="2734" spans="1:21" x14ac:dyDescent="0.3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  <c r="U2734">
        <f>IF(ChurnData[[#This Row],[churn]]="yes",1,0)</f>
        <v>0</v>
      </c>
    </row>
    <row r="2735" spans="1:21" x14ac:dyDescent="0.3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  <c r="U2735">
        <f>IF(ChurnData[[#This Row],[churn]]="yes",1,0)</f>
        <v>1</v>
      </c>
    </row>
    <row r="2736" spans="1:21" x14ac:dyDescent="0.3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  <c r="U2736">
        <f>IF(ChurnData[[#This Row],[churn]]="yes",1,0)</f>
        <v>0</v>
      </c>
    </row>
    <row r="2737" spans="1:21" x14ac:dyDescent="0.3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  <c r="U2737">
        <f>IF(ChurnData[[#This Row],[churn]]="yes",1,0)</f>
        <v>1</v>
      </c>
    </row>
    <row r="2738" spans="1:21" x14ac:dyDescent="0.3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  <c r="U2738">
        <f>IF(ChurnData[[#This Row],[churn]]="yes",1,0)</f>
        <v>0</v>
      </c>
    </row>
    <row r="2739" spans="1:21" x14ac:dyDescent="0.3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  <c r="U2739">
        <f>IF(ChurnData[[#This Row],[churn]]="yes",1,0)</f>
        <v>0</v>
      </c>
    </row>
    <row r="2740" spans="1:21" x14ac:dyDescent="0.3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  <c r="U2740">
        <f>IF(ChurnData[[#This Row],[churn]]="yes",1,0)</f>
        <v>0</v>
      </c>
    </row>
    <row r="2741" spans="1:21" x14ac:dyDescent="0.3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  <c r="U2741">
        <f>IF(ChurnData[[#This Row],[churn]]="yes",1,0)</f>
        <v>0</v>
      </c>
    </row>
    <row r="2742" spans="1:21" x14ac:dyDescent="0.3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  <c r="U2742">
        <f>IF(ChurnData[[#This Row],[churn]]="yes",1,0)</f>
        <v>0</v>
      </c>
    </row>
    <row r="2743" spans="1:21" x14ac:dyDescent="0.3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  <c r="U2743">
        <f>IF(ChurnData[[#This Row],[churn]]="yes",1,0)</f>
        <v>0</v>
      </c>
    </row>
    <row r="2744" spans="1:21" x14ac:dyDescent="0.3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  <c r="U2744">
        <f>IF(ChurnData[[#This Row],[churn]]="yes",1,0)</f>
        <v>0</v>
      </c>
    </row>
    <row r="2745" spans="1:21" x14ac:dyDescent="0.3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  <c r="U2745">
        <f>IF(ChurnData[[#This Row],[churn]]="yes",1,0)</f>
        <v>0</v>
      </c>
    </row>
    <row r="2746" spans="1:21" x14ac:dyDescent="0.3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  <c r="U2746">
        <f>IF(ChurnData[[#This Row],[churn]]="yes",1,0)</f>
        <v>0</v>
      </c>
    </row>
    <row r="2747" spans="1:21" x14ac:dyDescent="0.3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  <c r="U2747">
        <f>IF(ChurnData[[#This Row],[churn]]="yes",1,0)</f>
        <v>0</v>
      </c>
    </row>
    <row r="2748" spans="1:21" x14ac:dyDescent="0.3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  <c r="U2748">
        <f>IF(ChurnData[[#This Row],[churn]]="yes",1,0)</f>
        <v>0</v>
      </c>
    </row>
    <row r="2749" spans="1:21" x14ac:dyDescent="0.3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  <c r="U2749">
        <f>IF(ChurnData[[#This Row],[churn]]="yes",1,0)</f>
        <v>1</v>
      </c>
    </row>
    <row r="2750" spans="1:21" x14ac:dyDescent="0.3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  <c r="U2750">
        <f>IF(ChurnData[[#This Row],[churn]]="yes",1,0)</f>
        <v>0</v>
      </c>
    </row>
    <row r="2751" spans="1:21" x14ac:dyDescent="0.3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  <c r="U2751">
        <f>IF(ChurnData[[#This Row],[churn]]="yes",1,0)</f>
        <v>0</v>
      </c>
    </row>
    <row r="2752" spans="1:21" x14ac:dyDescent="0.3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  <c r="U2752">
        <f>IF(ChurnData[[#This Row],[churn]]="yes",1,0)</f>
        <v>1</v>
      </c>
    </row>
    <row r="2753" spans="1:21" x14ac:dyDescent="0.3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  <c r="U2753">
        <f>IF(ChurnData[[#This Row],[churn]]="yes",1,0)</f>
        <v>0</v>
      </c>
    </row>
    <row r="2754" spans="1:21" x14ac:dyDescent="0.3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  <c r="U2754">
        <f>IF(ChurnData[[#This Row],[churn]]="yes",1,0)</f>
        <v>1</v>
      </c>
    </row>
    <row r="2755" spans="1:21" x14ac:dyDescent="0.3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  <c r="U2755">
        <f>IF(ChurnData[[#This Row],[churn]]="yes",1,0)</f>
        <v>0</v>
      </c>
    </row>
    <row r="2756" spans="1:21" x14ac:dyDescent="0.3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  <c r="U2756">
        <f>IF(ChurnData[[#This Row],[churn]]="yes",1,0)</f>
        <v>0</v>
      </c>
    </row>
    <row r="2757" spans="1:21" x14ac:dyDescent="0.3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  <c r="U2757">
        <f>IF(ChurnData[[#This Row],[churn]]="yes",1,0)</f>
        <v>1</v>
      </c>
    </row>
    <row r="2758" spans="1:21" x14ac:dyDescent="0.3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  <c r="U2758">
        <f>IF(ChurnData[[#This Row],[churn]]="yes",1,0)</f>
        <v>1</v>
      </c>
    </row>
    <row r="2759" spans="1:21" x14ac:dyDescent="0.3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  <c r="U2759">
        <f>IF(ChurnData[[#This Row],[churn]]="yes",1,0)</f>
        <v>0</v>
      </c>
    </row>
    <row r="2760" spans="1:21" x14ac:dyDescent="0.3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  <c r="U2760">
        <f>IF(ChurnData[[#This Row],[churn]]="yes",1,0)</f>
        <v>0</v>
      </c>
    </row>
    <row r="2761" spans="1:21" x14ac:dyDescent="0.3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  <c r="U2761">
        <f>IF(ChurnData[[#This Row],[churn]]="yes",1,0)</f>
        <v>0</v>
      </c>
    </row>
    <row r="2762" spans="1:21" x14ac:dyDescent="0.3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  <c r="U2762">
        <f>IF(ChurnData[[#This Row],[churn]]="yes",1,0)</f>
        <v>0</v>
      </c>
    </row>
    <row r="2763" spans="1:21" x14ac:dyDescent="0.3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  <c r="U2763">
        <f>IF(ChurnData[[#This Row],[churn]]="yes",1,0)</f>
        <v>0</v>
      </c>
    </row>
    <row r="2764" spans="1:21" x14ac:dyDescent="0.3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  <c r="U2764">
        <f>IF(ChurnData[[#This Row],[churn]]="yes",1,0)</f>
        <v>0</v>
      </c>
    </row>
    <row r="2765" spans="1:21" x14ac:dyDescent="0.3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  <c r="U2765">
        <f>IF(ChurnData[[#This Row],[churn]]="yes",1,0)</f>
        <v>1</v>
      </c>
    </row>
    <row r="2766" spans="1:21" x14ac:dyDescent="0.3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  <c r="U2766">
        <f>IF(ChurnData[[#This Row],[churn]]="yes",1,0)</f>
        <v>0</v>
      </c>
    </row>
    <row r="2767" spans="1:21" x14ac:dyDescent="0.3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  <c r="U2767">
        <f>IF(ChurnData[[#This Row],[churn]]="yes",1,0)</f>
        <v>0</v>
      </c>
    </row>
    <row r="2768" spans="1:21" x14ac:dyDescent="0.3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  <c r="U2768">
        <f>IF(ChurnData[[#This Row],[churn]]="yes",1,0)</f>
        <v>0</v>
      </c>
    </row>
    <row r="2769" spans="1:21" x14ac:dyDescent="0.3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  <c r="U2769">
        <f>IF(ChurnData[[#This Row],[churn]]="yes",1,0)</f>
        <v>0</v>
      </c>
    </row>
    <row r="2770" spans="1:21" x14ac:dyDescent="0.3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  <c r="U2770">
        <f>IF(ChurnData[[#This Row],[churn]]="yes",1,0)</f>
        <v>0</v>
      </c>
    </row>
    <row r="2771" spans="1:21" x14ac:dyDescent="0.3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  <c r="U2771">
        <f>IF(ChurnData[[#This Row],[churn]]="yes",1,0)</f>
        <v>0</v>
      </c>
    </row>
    <row r="2772" spans="1:21" x14ac:dyDescent="0.3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  <c r="U2772">
        <f>IF(ChurnData[[#This Row],[churn]]="yes",1,0)</f>
        <v>0</v>
      </c>
    </row>
    <row r="2773" spans="1:21" x14ac:dyDescent="0.3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  <c r="U2773">
        <f>IF(ChurnData[[#This Row],[churn]]="yes",1,0)</f>
        <v>1</v>
      </c>
    </row>
    <row r="2774" spans="1:21" x14ac:dyDescent="0.3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  <c r="U2774">
        <f>IF(ChurnData[[#This Row],[churn]]="yes",1,0)</f>
        <v>0</v>
      </c>
    </row>
    <row r="2775" spans="1:21" x14ac:dyDescent="0.3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  <c r="U2775">
        <f>IF(ChurnData[[#This Row],[churn]]="yes",1,0)</f>
        <v>0</v>
      </c>
    </row>
    <row r="2776" spans="1:21" x14ac:dyDescent="0.3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  <c r="U2776">
        <f>IF(ChurnData[[#This Row],[churn]]="yes",1,0)</f>
        <v>0</v>
      </c>
    </row>
    <row r="2777" spans="1:21" x14ac:dyDescent="0.3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  <c r="U2777">
        <f>IF(ChurnData[[#This Row],[churn]]="yes",1,0)</f>
        <v>0</v>
      </c>
    </row>
    <row r="2778" spans="1:21" x14ac:dyDescent="0.3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  <c r="U2778">
        <f>IF(ChurnData[[#This Row],[churn]]="yes",1,0)</f>
        <v>0</v>
      </c>
    </row>
    <row r="2779" spans="1:21" x14ac:dyDescent="0.3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  <c r="U2779">
        <f>IF(ChurnData[[#This Row],[churn]]="yes",1,0)</f>
        <v>1</v>
      </c>
    </row>
    <row r="2780" spans="1:21" x14ac:dyDescent="0.3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  <c r="U2780">
        <f>IF(ChurnData[[#This Row],[churn]]="yes",1,0)</f>
        <v>0</v>
      </c>
    </row>
    <row r="2781" spans="1:21" x14ac:dyDescent="0.3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  <c r="U2781">
        <f>IF(ChurnData[[#This Row],[churn]]="yes",1,0)</f>
        <v>0</v>
      </c>
    </row>
    <row r="2782" spans="1:21" x14ac:dyDescent="0.3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  <c r="U2782">
        <f>IF(ChurnData[[#This Row],[churn]]="yes",1,0)</f>
        <v>0</v>
      </c>
    </row>
    <row r="2783" spans="1:21" x14ac:dyDescent="0.3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  <c r="U2783">
        <f>IF(ChurnData[[#This Row],[churn]]="yes",1,0)</f>
        <v>0</v>
      </c>
    </row>
    <row r="2784" spans="1:21" x14ac:dyDescent="0.3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  <c r="U2784">
        <f>IF(ChurnData[[#This Row],[churn]]="yes",1,0)</f>
        <v>0</v>
      </c>
    </row>
    <row r="2785" spans="1:21" x14ac:dyDescent="0.3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  <c r="U2785">
        <f>IF(ChurnData[[#This Row],[churn]]="yes",1,0)</f>
        <v>0</v>
      </c>
    </row>
    <row r="2786" spans="1:21" x14ac:dyDescent="0.3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  <c r="U2786">
        <f>IF(ChurnData[[#This Row],[churn]]="yes",1,0)</f>
        <v>0</v>
      </c>
    </row>
    <row r="2787" spans="1:21" x14ac:dyDescent="0.3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  <c r="U2787">
        <f>IF(ChurnData[[#This Row],[churn]]="yes",1,0)</f>
        <v>1</v>
      </c>
    </row>
    <row r="2788" spans="1:21" x14ac:dyDescent="0.3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  <c r="U2788">
        <f>IF(ChurnData[[#This Row],[churn]]="yes",1,0)</f>
        <v>0</v>
      </c>
    </row>
    <row r="2789" spans="1:21" x14ac:dyDescent="0.3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  <c r="U2789">
        <f>IF(ChurnData[[#This Row],[churn]]="yes",1,0)</f>
        <v>0</v>
      </c>
    </row>
    <row r="2790" spans="1:21" x14ac:dyDescent="0.3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  <c r="U2790">
        <f>IF(ChurnData[[#This Row],[churn]]="yes",1,0)</f>
        <v>0</v>
      </c>
    </row>
    <row r="2791" spans="1:21" x14ac:dyDescent="0.3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  <c r="U2791">
        <f>IF(ChurnData[[#This Row],[churn]]="yes",1,0)</f>
        <v>0</v>
      </c>
    </row>
    <row r="2792" spans="1:21" x14ac:dyDescent="0.3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  <c r="U2792">
        <f>IF(ChurnData[[#This Row],[churn]]="yes",1,0)</f>
        <v>1</v>
      </c>
    </row>
    <row r="2793" spans="1:21" x14ac:dyDescent="0.3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  <c r="U2793">
        <f>IF(ChurnData[[#This Row],[churn]]="yes",1,0)</f>
        <v>0</v>
      </c>
    </row>
    <row r="2794" spans="1:21" x14ac:dyDescent="0.3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  <c r="U2794">
        <f>IF(ChurnData[[#This Row],[churn]]="yes",1,0)</f>
        <v>0</v>
      </c>
    </row>
    <row r="2795" spans="1:21" x14ac:dyDescent="0.3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  <c r="U2795">
        <f>IF(ChurnData[[#This Row],[churn]]="yes",1,0)</f>
        <v>1</v>
      </c>
    </row>
    <row r="2796" spans="1:21" x14ac:dyDescent="0.3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  <c r="U2796">
        <f>IF(ChurnData[[#This Row],[churn]]="yes",1,0)</f>
        <v>0</v>
      </c>
    </row>
    <row r="2797" spans="1:21" x14ac:dyDescent="0.3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  <c r="U2797">
        <f>IF(ChurnData[[#This Row],[churn]]="yes",1,0)</f>
        <v>0</v>
      </c>
    </row>
    <row r="2798" spans="1:21" x14ac:dyDescent="0.3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  <c r="U2798">
        <f>IF(ChurnData[[#This Row],[churn]]="yes",1,0)</f>
        <v>0</v>
      </c>
    </row>
    <row r="2799" spans="1:21" x14ac:dyDescent="0.3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  <c r="U2799">
        <f>IF(ChurnData[[#This Row],[churn]]="yes",1,0)</f>
        <v>0</v>
      </c>
    </row>
    <row r="2800" spans="1:21" x14ac:dyDescent="0.3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  <c r="U2800">
        <f>IF(ChurnData[[#This Row],[churn]]="yes",1,0)</f>
        <v>0</v>
      </c>
    </row>
    <row r="2801" spans="1:21" x14ac:dyDescent="0.3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  <c r="U2801">
        <f>IF(ChurnData[[#This Row],[churn]]="yes",1,0)</f>
        <v>0</v>
      </c>
    </row>
    <row r="2802" spans="1:21" x14ac:dyDescent="0.3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  <c r="U2802">
        <f>IF(ChurnData[[#This Row],[churn]]="yes",1,0)</f>
        <v>0</v>
      </c>
    </row>
    <row r="2803" spans="1:21" x14ac:dyDescent="0.3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  <c r="U2803">
        <f>IF(ChurnData[[#This Row],[churn]]="yes",1,0)</f>
        <v>1</v>
      </c>
    </row>
    <row r="2804" spans="1:21" x14ac:dyDescent="0.3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  <c r="U2804">
        <f>IF(ChurnData[[#This Row],[churn]]="yes",1,0)</f>
        <v>0</v>
      </c>
    </row>
    <row r="2805" spans="1:21" x14ac:dyDescent="0.3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  <c r="U2805">
        <f>IF(ChurnData[[#This Row],[churn]]="yes",1,0)</f>
        <v>0</v>
      </c>
    </row>
    <row r="2806" spans="1:21" x14ac:dyDescent="0.3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  <c r="U2806">
        <f>IF(ChurnData[[#This Row],[churn]]="yes",1,0)</f>
        <v>1</v>
      </c>
    </row>
    <row r="2807" spans="1:21" x14ac:dyDescent="0.3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  <c r="U2807">
        <f>IF(ChurnData[[#This Row],[churn]]="yes",1,0)</f>
        <v>0</v>
      </c>
    </row>
    <row r="2808" spans="1:21" x14ac:dyDescent="0.3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  <c r="U2808">
        <f>IF(ChurnData[[#This Row],[churn]]="yes",1,0)</f>
        <v>0</v>
      </c>
    </row>
    <row r="2809" spans="1:21" x14ac:dyDescent="0.3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  <c r="U2809">
        <f>IF(ChurnData[[#This Row],[churn]]="yes",1,0)</f>
        <v>0</v>
      </c>
    </row>
    <row r="2810" spans="1:21" x14ac:dyDescent="0.3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  <c r="U2810">
        <f>IF(ChurnData[[#This Row],[churn]]="yes",1,0)</f>
        <v>0</v>
      </c>
    </row>
    <row r="2811" spans="1:21" x14ac:dyDescent="0.3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  <c r="U2811">
        <f>IF(ChurnData[[#This Row],[churn]]="yes",1,0)</f>
        <v>0</v>
      </c>
    </row>
    <row r="2812" spans="1:21" x14ac:dyDescent="0.3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  <c r="U2812">
        <f>IF(ChurnData[[#This Row],[churn]]="yes",1,0)</f>
        <v>0</v>
      </c>
    </row>
    <row r="2813" spans="1:21" x14ac:dyDescent="0.3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  <c r="U2813">
        <f>IF(ChurnData[[#This Row],[churn]]="yes",1,0)</f>
        <v>0</v>
      </c>
    </row>
    <row r="2814" spans="1:21" x14ac:dyDescent="0.3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  <c r="U2814">
        <f>IF(ChurnData[[#This Row],[churn]]="yes",1,0)</f>
        <v>0</v>
      </c>
    </row>
    <row r="2815" spans="1:21" x14ac:dyDescent="0.3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  <c r="U2815">
        <f>IF(ChurnData[[#This Row],[churn]]="yes",1,0)</f>
        <v>0</v>
      </c>
    </row>
    <row r="2816" spans="1:21" x14ac:dyDescent="0.3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  <c r="U2816">
        <f>IF(ChurnData[[#This Row],[churn]]="yes",1,0)</f>
        <v>0</v>
      </c>
    </row>
    <row r="2817" spans="1:21" x14ac:dyDescent="0.3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  <c r="U2817">
        <f>IF(ChurnData[[#This Row],[churn]]="yes",1,0)</f>
        <v>0</v>
      </c>
    </row>
    <row r="2818" spans="1:21" x14ac:dyDescent="0.3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  <c r="U2818">
        <f>IF(ChurnData[[#This Row],[churn]]="yes",1,0)</f>
        <v>0</v>
      </c>
    </row>
    <row r="2819" spans="1:21" x14ac:dyDescent="0.3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  <c r="U2819">
        <f>IF(ChurnData[[#This Row],[churn]]="yes",1,0)</f>
        <v>0</v>
      </c>
    </row>
    <row r="2820" spans="1:21" x14ac:dyDescent="0.3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  <c r="U2820">
        <f>IF(ChurnData[[#This Row],[churn]]="yes",1,0)</f>
        <v>1</v>
      </c>
    </row>
    <row r="2821" spans="1:21" x14ac:dyDescent="0.3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  <c r="U2821">
        <f>IF(ChurnData[[#This Row],[churn]]="yes",1,0)</f>
        <v>0</v>
      </c>
    </row>
    <row r="2822" spans="1:21" x14ac:dyDescent="0.3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  <c r="U2822">
        <f>IF(ChurnData[[#This Row],[churn]]="yes",1,0)</f>
        <v>1</v>
      </c>
    </row>
    <row r="2823" spans="1:21" x14ac:dyDescent="0.3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  <c r="U2823">
        <f>IF(ChurnData[[#This Row],[churn]]="yes",1,0)</f>
        <v>1</v>
      </c>
    </row>
    <row r="2824" spans="1:21" x14ac:dyDescent="0.3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  <c r="U2824">
        <f>IF(ChurnData[[#This Row],[churn]]="yes",1,0)</f>
        <v>0</v>
      </c>
    </row>
    <row r="2825" spans="1:21" x14ac:dyDescent="0.3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  <c r="U2825">
        <f>IF(ChurnData[[#This Row],[churn]]="yes",1,0)</f>
        <v>0</v>
      </c>
    </row>
    <row r="2826" spans="1:21" x14ac:dyDescent="0.3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  <c r="U2826">
        <f>IF(ChurnData[[#This Row],[churn]]="yes",1,0)</f>
        <v>0</v>
      </c>
    </row>
    <row r="2827" spans="1:21" x14ac:dyDescent="0.3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  <c r="U2827">
        <f>IF(ChurnData[[#This Row],[churn]]="yes",1,0)</f>
        <v>0</v>
      </c>
    </row>
    <row r="2828" spans="1:21" x14ac:dyDescent="0.3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  <c r="U2828">
        <f>IF(ChurnData[[#This Row],[churn]]="yes",1,0)</f>
        <v>0</v>
      </c>
    </row>
    <row r="2829" spans="1:21" x14ac:dyDescent="0.3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  <c r="U2829">
        <f>IF(ChurnData[[#This Row],[churn]]="yes",1,0)</f>
        <v>0</v>
      </c>
    </row>
    <row r="2830" spans="1:21" x14ac:dyDescent="0.3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  <c r="U2830">
        <f>IF(ChurnData[[#This Row],[churn]]="yes",1,0)</f>
        <v>0</v>
      </c>
    </row>
    <row r="2831" spans="1:21" x14ac:dyDescent="0.3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  <c r="U2831">
        <f>IF(ChurnData[[#This Row],[churn]]="yes",1,0)</f>
        <v>0</v>
      </c>
    </row>
    <row r="2832" spans="1:21" x14ac:dyDescent="0.3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  <c r="U2832">
        <f>IF(ChurnData[[#This Row],[churn]]="yes",1,0)</f>
        <v>0</v>
      </c>
    </row>
    <row r="2833" spans="1:21" x14ac:dyDescent="0.3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  <c r="U2833">
        <f>IF(ChurnData[[#This Row],[churn]]="yes",1,0)</f>
        <v>0</v>
      </c>
    </row>
    <row r="2834" spans="1:21" x14ac:dyDescent="0.3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  <c r="U2834">
        <f>IF(ChurnData[[#This Row],[churn]]="yes",1,0)</f>
        <v>0</v>
      </c>
    </row>
    <row r="2835" spans="1:21" x14ac:dyDescent="0.3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  <c r="U2835">
        <f>IF(ChurnData[[#This Row],[churn]]="yes",1,0)</f>
        <v>0</v>
      </c>
    </row>
    <row r="2836" spans="1:21" x14ac:dyDescent="0.3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  <c r="U2836">
        <f>IF(ChurnData[[#This Row],[churn]]="yes",1,0)</f>
        <v>0</v>
      </c>
    </row>
    <row r="2837" spans="1:21" x14ac:dyDescent="0.3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  <c r="U2837">
        <f>IF(ChurnData[[#This Row],[churn]]="yes",1,0)</f>
        <v>0</v>
      </c>
    </row>
    <row r="2838" spans="1:21" x14ac:dyDescent="0.3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  <c r="U2838">
        <f>IF(ChurnData[[#This Row],[churn]]="yes",1,0)</f>
        <v>0</v>
      </c>
    </row>
    <row r="2839" spans="1:21" x14ac:dyDescent="0.3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  <c r="U2839">
        <f>IF(ChurnData[[#This Row],[churn]]="yes",1,0)</f>
        <v>0</v>
      </c>
    </row>
    <row r="2840" spans="1:21" x14ac:dyDescent="0.3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  <c r="U2840">
        <f>IF(ChurnData[[#This Row],[churn]]="yes",1,0)</f>
        <v>0</v>
      </c>
    </row>
    <row r="2841" spans="1:21" x14ac:dyDescent="0.3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  <c r="U2841">
        <f>IF(ChurnData[[#This Row],[churn]]="yes",1,0)</f>
        <v>0</v>
      </c>
    </row>
    <row r="2842" spans="1:21" x14ac:dyDescent="0.3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  <c r="U2842">
        <f>IF(ChurnData[[#This Row],[churn]]="yes",1,0)</f>
        <v>0</v>
      </c>
    </row>
    <row r="2843" spans="1:21" x14ac:dyDescent="0.3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  <c r="U2843">
        <f>IF(ChurnData[[#This Row],[churn]]="yes",1,0)</f>
        <v>0</v>
      </c>
    </row>
    <row r="2844" spans="1:21" x14ac:dyDescent="0.3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  <c r="U2844">
        <f>IF(ChurnData[[#This Row],[churn]]="yes",1,0)</f>
        <v>0</v>
      </c>
    </row>
    <row r="2845" spans="1:21" x14ac:dyDescent="0.3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  <c r="U2845">
        <f>IF(ChurnData[[#This Row],[churn]]="yes",1,0)</f>
        <v>0</v>
      </c>
    </row>
    <row r="2846" spans="1:21" x14ac:dyDescent="0.3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  <c r="U2846">
        <f>IF(ChurnData[[#This Row],[churn]]="yes",1,0)</f>
        <v>0</v>
      </c>
    </row>
    <row r="2847" spans="1:21" x14ac:dyDescent="0.3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  <c r="U2847">
        <f>IF(ChurnData[[#This Row],[churn]]="yes",1,0)</f>
        <v>0</v>
      </c>
    </row>
    <row r="2848" spans="1:21" x14ac:dyDescent="0.3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  <c r="U2848">
        <f>IF(ChurnData[[#This Row],[churn]]="yes",1,0)</f>
        <v>0</v>
      </c>
    </row>
    <row r="2849" spans="1:21" x14ac:dyDescent="0.3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  <c r="U2849">
        <f>IF(ChurnData[[#This Row],[churn]]="yes",1,0)</f>
        <v>0</v>
      </c>
    </row>
    <row r="2850" spans="1:21" x14ac:dyDescent="0.3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  <c r="U2850">
        <f>IF(ChurnData[[#This Row],[churn]]="yes",1,0)</f>
        <v>0</v>
      </c>
    </row>
    <row r="2851" spans="1:21" x14ac:dyDescent="0.3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  <c r="U2851">
        <f>IF(ChurnData[[#This Row],[churn]]="yes",1,0)</f>
        <v>0</v>
      </c>
    </row>
    <row r="2852" spans="1:21" x14ac:dyDescent="0.3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  <c r="U2852">
        <f>IF(ChurnData[[#This Row],[churn]]="yes",1,0)</f>
        <v>0</v>
      </c>
    </row>
    <row r="2853" spans="1:21" x14ac:dyDescent="0.3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  <c r="U2853">
        <f>IF(ChurnData[[#This Row],[churn]]="yes",1,0)</f>
        <v>0</v>
      </c>
    </row>
    <row r="2854" spans="1:21" x14ac:dyDescent="0.3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  <c r="U2854">
        <f>IF(ChurnData[[#This Row],[churn]]="yes",1,0)</f>
        <v>0</v>
      </c>
    </row>
    <row r="2855" spans="1:21" x14ac:dyDescent="0.3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  <c r="U2855">
        <f>IF(ChurnData[[#This Row],[churn]]="yes",1,0)</f>
        <v>0</v>
      </c>
    </row>
    <row r="2856" spans="1:21" x14ac:dyDescent="0.3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  <c r="U2856">
        <f>IF(ChurnData[[#This Row],[churn]]="yes",1,0)</f>
        <v>0</v>
      </c>
    </row>
    <row r="2857" spans="1:21" x14ac:dyDescent="0.3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  <c r="U2857">
        <f>IF(ChurnData[[#This Row],[churn]]="yes",1,0)</f>
        <v>0</v>
      </c>
    </row>
    <row r="2858" spans="1:21" x14ac:dyDescent="0.3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  <c r="U2858">
        <f>IF(ChurnData[[#This Row],[churn]]="yes",1,0)</f>
        <v>0</v>
      </c>
    </row>
    <row r="2859" spans="1:21" x14ac:dyDescent="0.3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  <c r="U2859">
        <f>IF(ChurnData[[#This Row],[churn]]="yes",1,0)</f>
        <v>0</v>
      </c>
    </row>
    <row r="2860" spans="1:21" x14ac:dyDescent="0.3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  <c r="U2860">
        <f>IF(ChurnData[[#This Row],[churn]]="yes",1,0)</f>
        <v>1</v>
      </c>
    </row>
    <row r="2861" spans="1:21" x14ac:dyDescent="0.3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  <c r="U2861">
        <f>IF(ChurnData[[#This Row],[churn]]="yes",1,0)</f>
        <v>0</v>
      </c>
    </row>
    <row r="2862" spans="1:21" x14ac:dyDescent="0.3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  <c r="U2862">
        <f>IF(ChurnData[[#This Row],[churn]]="yes",1,0)</f>
        <v>0</v>
      </c>
    </row>
    <row r="2863" spans="1:21" x14ac:dyDescent="0.3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  <c r="U2863">
        <f>IF(ChurnData[[#This Row],[churn]]="yes",1,0)</f>
        <v>1</v>
      </c>
    </row>
    <row r="2864" spans="1:21" x14ac:dyDescent="0.3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  <c r="U2864">
        <f>IF(ChurnData[[#This Row],[churn]]="yes",1,0)</f>
        <v>1</v>
      </c>
    </row>
    <row r="2865" spans="1:21" x14ac:dyDescent="0.3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  <c r="U2865">
        <f>IF(ChurnData[[#This Row],[churn]]="yes",1,0)</f>
        <v>0</v>
      </c>
    </row>
    <row r="2866" spans="1:21" x14ac:dyDescent="0.3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  <c r="U2866">
        <f>IF(ChurnData[[#This Row],[churn]]="yes",1,0)</f>
        <v>0</v>
      </c>
    </row>
    <row r="2867" spans="1:21" x14ac:dyDescent="0.3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  <c r="U2867">
        <f>IF(ChurnData[[#This Row],[churn]]="yes",1,0)</f>
        <v>1</v>
      </c>
    </row>
    <row r="2868" spans="1:21" x14ac:dyDescent="0.3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  <c r="U2868">
        <f>IF(ChurnData[[#This Row],[churn]]="yes",1,0)</f>
        <v>0</v>
      </c>
    </row>
    <row r="2869" spans="1:21" x14ac:dyDescent="0.3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  <c r="U2869">
        <f>IF(ChurnData[[#This Row],[churn]]="yes",1,0)</f>
        <v>0</v>
      </c>
    </row>
    <row r="2870" spans="1:21" x14ac:dyDescent="0.3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  <c r="U2870">
        <f>IF(ChurnData[[#This Row],[churn]]="yes",1,0)</f>
        <v>0</v>
      </c>
    </row>
    <row r="2871" spans="1:21" x14ac:dyDescent="0.3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  <c r="U2871">
        <f>IF(ChurnData[[#This Row],[churn]]="yes",1,0)</f>
        <v>0</v>
      </c>
    </row>
    <row r="2872" spans="1:21" x14ac:dyDescent="0.3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  <c r="U2872">
        <f>IF(ChurnData[[#This Row],[churn]]="yes",1,0)</f>
        <v>0</v>
      </c>
    </row>
    <row r="2873" spans="1:21" x14ac:dyDescent="0.3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  <c r="U2873">
        <f>IF(ChurnData[[#This Row],[churn]]="yes",1,0)</f>
        <v>1</v>
      </c>
    </row>
    <row r="2874" spans="1:21" x14ac:dyDescent="0.3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  <c r="U2874">
        <f>IF(ChurnData[[#This Row],[churn]]="yes",1,0)</f>
        <v>0</v>
      </c>
    </row>
    <row r="2875" spans="1:21" x14ac:dyDescent="0.3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  <c r="U2875">
        <f>IF(ChurnData[[#This Row],[churn]]="yes",1,0)</f>
        <v>0</v>
      </c>
    </row>
    <row r="2876" spans="1:21" x14ac:dyDescent="0.3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  <c r="U2876">
        <f>IF(ChurnData[[#This Row],[churn]]="yes",1,0)</f>
        <v>0</v>
      </c>
    </row>
    <row r="2877" spans="1:21" x14ac:dyDescent="0.3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  <c r="U2877">
        <f>IF(ChurnData[[#This Row],[churn]]="yes",1,0)</f>
        <v>0</v>
      </c>
    </row>
    <row r="2878" spans="1:21" x14ac:dyDescent="0.3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  <c r="U2878">
        <f>IF(ChurnData[[#This Row],[churn]]="yes",1,0)</f>
        <v>0</v>
      </c>
    </row>
    <row r="2879" spans="1:21" x14ac:dyDescent="0.3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  <c r="U2879">
        <f>IF(ChurnData[[#This Row],[churn]]="yes",1,0)</f>
        <v>0</v>
      </c>
    </row>
    <row r="2880" spans="1:21" x14ac:dyDescent="0.3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  <c r="U2880">
        <f>IF(ChurnData[[#This Row],[churn]]="yes",1,0)</f>
        <v>0</v>
      </c>
    </row>
    <row r="2881" spans="1:21" x14ac:dyDescent="0.3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  <c r="U2881">
        <f>IF(ChurnData[[#This Row],[churn]]="yes",1,0)</f>
        <v>0</v>
      </c>
    </row>
    <row r="2882" spans="1:21" x14ac:dyDescent="0.3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  <c r="U2882">
        <f>IF(ChurnData[[#This Row],[churn]]="yes",1,0)</f>
        <v>0</v>
      </c>
    </row>
    <row r="2883" spans="1:21" x14ac:dyDescent="0.3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  <c r="U2883">
        <f>IF(ChurnData[[#This Row],[churn]]="yes",1,0)</f>
        <v>1</v>
      </c>
    </row>
    <row r="2884" spans="1:21" x14ac:dyDescent="0.3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  <c r="U2884">
        <f>IF(ChurnData[[#This Row],[churn]]="yes",1,0)</f>
        <v>0</v>
      </c>
    </row>
    <row r="2885" spans="1:21" x14ac:dyDescent="0.3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  <c r="U2885">
        <f>IF(ChurnData[[#This Row],[churn]]="yes",1,0)</f>
        <v>0</v>
      </c>
    </row>
    <row r="2886" spans="1:21" x14ac:dyDescent="0.3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  <c r="U2886">
        <f>IF(ChurnData[[#This Row],[churn]]="yes",1,0)</f>
        <v>0</v>
      </c>
    </row>
    <row r="2887" spans="1:21" x14ac:dyDescent="0.3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  <c r="U2887">
        <f>IF(ChurnData[[#This Row],[churn]]="yes",1,0)</f>
        <v>0</v>
      </c>
    </row>
    <row r="2888" spans="1:21" x14ac:dyDescent="0.3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  <c r="U2888">
        <f>IF(ChurnData[[#This Row],[churn]]="yes",1,0)</f>
        <v>0</v>
      </c>
    </row>
    <row r="2889" spans="1:21" x14ac:dyDescent="0.3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  <c r="U2889">
        <f>IF(ChurnData[[#This Row],[churn]]="yes",1,0)</f>
        <v>0</v>
      </c>
    </row>
    <row r="2890" spans="1:21" x14ac:dyDescent="0.3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  <c r="U2890">
        <f>IF(ChurnData[[#This Row],[churn]]="yes",1,0)</f>
        <v>0</v>
      </c>
    </row>
    <row r="2891" spans="1:21" x14ac:dyDescent="0.3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  <c r="U2891">
        <f>IF(ChurnData[[#This Row],[churn]]="yes",1,0)</f>
        <v>0</v>
      </c>
    </row>
    <row r="2892" spans="1:21" x14ac:dyDescent="0.3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  <c r="U2892">
        <f>IF(ChurnData[[#This Row],[churn]]="yes",1,0)</f>
        <v>0</v>
      </c>
    </row>
    <row r="2893" spans="1:21" x14ac:dyDescent="0.3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  <c r="U2893">
        <f>IF(ChurnData[[#This Row],[churn]]="yes",1,0)</f>
        <v>0</v>
      </c>
    </row>
    <row r="2894" spans="1:21" x14ac:dyDescent="0.3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  <c r="U2894">
        <f>IF(ChurnData[[#This Row],[churn]]="yes",1,0)</f>
        <v>1</v>
      </c>
    </row>
    <row r="2895" spans="1:21" x14ac:dyDescent="0.3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  <c r="U2895">
        <f>IF(ChurnData[[#This Row],[churn]]="yes",1,0)</f>
        <v>0</v>
      </c>
    </row>
    <row r="2896" spans="1:21" x14ac:dyDescent="0.3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  <c r="U2896">
        <f>IF(ChurnData[[#This Row],[churn]]="yes",1,0)</f>
        <v>0</v>
      </c>
    </row>
    <row r="2897" spans="1:21" x14ac:dyDescent="0.3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  <c r="U2897">
        <f>IF(ChurnData[[#This Row],[churn]]="yes",1,0)</f>
        <v>1</v>
      </c>
    </row>
    <row r="2898" spans="1:21" x14ac:dyDescent="0.3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  <c r="U2898">
        <f>IF(ChurnData[[#This Row],[churn]]="yes",1,0)</f>
        <v>0</v>
      </c>
    </row>
    <row r="2899" spans="1:21" x14ac:dyDescent="0.3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  <c r="U2899">
        <f>IF(ChurnData[[#This Row],[churn]]="yes",1,0)</f>
        <v>0</v>
      </c>
    </row>
    <row r="2900" spans="1:21" x14ac:dyDescent="0.3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  <c r="U2900">
        <f>IF(ChurnData[[#This Row],[churn]]="yes",1,0)</f>
        <v>0</v>
      </c>
    </row>
    <row r="2901" spans="1:21" x14ac:dyDescent="0.3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  <c r="U2901">
        <f>IF(ChurnData[[#This Row],[churn]]="yes",1,0)</f>
        <v>0</v>
      </c>
    </row>
    <row r="2902" spans="1:21" x14ac:dyDescent="0.3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  <c r="U2902">
        <f>IF(ChurnData[[#This Row],[churn]]="yes",1,0)</f>
        <v>0</v>
      </c>
    </row>
    <row r="2903" spans="1:21" x14ac:dyDescent="0.3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  <c r="U2903">
        <f>IF(ChurnData[[#This Row],[churn]]="yes",1,0)</f>
        <v>1</v>
      </c>
    </row>
    <row r="2904" spans="1:21" x14ac:dyDescent="0.3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  <c r="U2904">
        <f>IF(ChurnData[[#This Row],[churn]]="yes",1,0)</f>
        <v>0</v>
      </c>
    </row>
    <row r="2905" spans="1:21" x14ac:dyDescent="0.3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  <c r="U2905">
        <f>IF(ChurnData[[#This Row],[churn]]="yes",1,0)</f>
        <v>0</v>
      </c>
    </row>
    <row r="2906" spans="1:21" x14ac:dyDescent="0.3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  <c r="U2906">
        <f>IF(ChurnData[[#This Row],[churn]]="yes",1,0)</f>
        <v>0</v>
      </c>
    </row>
    <row r="2907" spans="1:21" x14ac:dyDescent="0.3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  <c r="U2907">
        <f>IF(ChurnData[[#This Row],[churn]]="yes",1,0)</f>
        <v>0</v>
      </c>
    </row>
    <row r="2908" spans="1:21" x14ac:dyDescent="0.3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  <c r="U2908">
        <f>IF(ChurnData[[#This Row],[churn]]="yes",1,0)</f>
        <v>0</v>
      </c>
    </row>
    <row r="2909" spans="1:21" x14ac:dyDescent="0.3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  <c r="U2909">
        <f>IF(ChurnData[[#This Row],[churn]]="yes",1,0)</f>
        <v>0</v>
      </c>
    </row>
    <row r="2910" spans="1:21" x14ac:dyDescent="0.3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  <c r="U2910">
        <f>IF(ChurnData[[#This Row],[churn]]="yes",1,0)</f>
        <v>1</v>
      </c>
    </row>
    <row r="2911" spans="1:21" x14ac:dyDescent="0.3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  <c r="U2911">
        <f>IF(ChurnData[[#This Row],[churn]]="yes",1,0)</f>
        <v>0</v>
      </c>
    </row>
    <row r="2912" spans="1:21" x14ac:dyDescent="0.3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  <c r="U2912">
        <f>IF(ChurnData[[#This Row],[churn]]="yes",1,0)</f>
        <v>0</v>
      </c>
    </row>
    <row r="2913" spans="1:21" x14ac:dyDescent="0.3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  <c r="U2913">
        <f>IF(ChurnData[[#This Row],[churn]]="yes",1,0)</f>
        <v>0</v>
      </c>
    </row>
    <row r="2914" spans="1:21" x14ac:dyDescent="0.3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  <c r="U2914">
        <f>IF(ChurnData[[#This Row],[churn]]="yes",1,0)</f>
        <v>0</v>
      </c>
    </row>
    <row r="2915" spans="1:21" x14ac:dyDescent="0.3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  <c r="U2915">
        <f>IF(ChurnData[[#This Row],[churn]]="yes",1,0)</f>
        <v>0</v>
      </c>
    </row>
    <row r="2916" spans="1:21" x14ac:dyDescent="0.3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  <c r="U2916">
        <f>IF(ChurnData[[#This Row],[churn]]="yes",1,0)</f>
        <v>0</v>
      </c>
    </row>
    <row r="2917" spans="1:21" x14ac:dyDescent="0.3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  <c r="U2917">
        <f>IF(ChurnData[[#This Row],[churn]]="yes",1,0)</f>
        <v>0</v>
      </c>
    </row>
    <row r="2918" spans="1:21" x14ac:dyDescent="0.3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  <c r="U2918">
        <f>IF(ChurnData[[#This Row],[churn]]="yes",1,0)</f>
        <v>0</v>
      </c>
    </row>
    <row r="2919" spans="1:21" x14ac:dyDescent="0.3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  <c r="U2919">
        <f>IF(ChurnData[[#This Row],[churn]]="yes",1,0)</f>
        <v>0</v>
      </c>
    </row>
    <row r="2920" spans="1:21" x14ac:dyDescent="0.3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  <c r="U2920">
        <f>IF(ChurnData[[#This Row],[churn]]="yes",1,0)</f>
        <v>1</v>
      </c>
    </row>
    <row r="2921" spans="1:21" x14ac:dyDescent="0.3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  <c r="U2921">
        <f>IF(ChurnData[[#This Row],[churn]]="yes",1,0)</f>
        <v>0</v>
      </c>
    </row>
    <row r="2922" spans="1:21" x14ac:dyDescent="0.3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  <c r="U2922">
        <f>IF(ChurnData[[#This Row],[churn]]="yes",1,0)</f>
        <v>0</v>
      </c>
    </row>
    <row r="2923" spans="1:21" x14ac:dyDescent="0.3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  <c r="U2923">
        <f>IF(ChurnData[[#This Row],[churn]]="yes",1,0)</f>
        <v>1</v>
      </c>
    </row>
    <row r="2924" spans="1:21" x14ac:dyDescent="0.3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  <c r="U2924">
        <f>IF(ChurnData[[#This Row],[churn]]="yes",1,0)</f>
        <v>0</v>
      </c>
    </row>
    <row r="2925" spans="1:21" x14ac:dyDescent="0.3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  <c r="U2925">
        <f>IF(ChurnData[[#This Row],[churn]]="yes",1,0)</f>
        <v>0</v>
      </c>
    </row>
    <row r="2926" spans="1:21" x14ac:dyDescent="0.3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  <c r="U2926">
        <f>IF(ChurnData[[#This Row],[churn]]="yes",1,0)</f>
        <v>0</v>
      </c>
    </row>
    <row r="2927" spans="1:21" x14ac:dyDescent="0.3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  <c r="U2927">
        <f>IF(ChurnData[[#This Row],[churn]]="yes",1,0)</f>
        <v>0</v>
      </c>
    </row>
    <row r="2928" spans="1:21" x14ac:dyDescent="0.3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  <c r="U2928">
        <f>IF(ChurnData[[#This Row],[churn]]="yes",1,0)</f>
        <v>0</v>
      </c>
    </row>
    <row r="2929" spans="1:21" x14ac:dyDescent="0.3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  <c r="U2929">
        <f>IF(ChurnData[[#This Row],[churn]]="yes",1,0)</f>
        <v>0</v>
      </c>
    </row>
    <row r="2930" spans="1:21" x14ac:dyDescent="0.3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  <c r="U2930">
        <f>IF(ChurnData[[#This Row],[churn]]="yes",1,0)</f>
        <v>0</v>
      </c>
    </row>
    <row r="2931" spans="1:21" x14ac:dyDescent="0.3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  <c r="U2931">
        <f>IF(ChurnData[[#This Row],[churn]]="yes",1,0)</f>
        <v>1</v>
      </c>
    </row>
    <row r="2932" spans="1:21" x14ac:dyDescent="0.3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  <c r="U2932">
        <f>IF(ChurnData[[#This Row],[churn]]="yes",1,0)</f>
        <v>0</v>
      </c>
    </row>
    <row r="2933" spans="1:21" x14ac:dyDescent="0.3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  <c r="U2933">
        <f>IF(ChurnData[[#This Row],[churn]]="yes",1,0)</f>
        <v>0</v>
      </c>
    </row>
    <row r="2934" spans="1:21" x14ac:dyDescent="0.3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  <c r="U2934">
        <f>IF(ChurnData[[#This Row],[churn]]="yes",1,0)</f>
        <v>1</v>
      </c>
    </row>
    <row r="2935" spans="1:21" x14ac:dyDescent="0.3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  <c r="U2935">
        <f>IF(ChurnData[[#This Row],[churn]]="yes",1,0)</f>
        <v>0</v>
      </c>
    </row>
    <row r="2936" spans="1:21" x14ac:dyDescent="0.3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  <c r="U2936">
        <f>IF(ChurnData[[#This Row],[churn]]="yes",1,0)</f>
        <v>0</v>
      </c>
    </row>
    <row r="2937" spans="1:21" x14ac:dyDescent="0.3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  <c r="U2937">
        <f>IF(ChurnData[[#This Row],[churn]]="yes",1,0)</f>
        <v>0</v>
      </c>
    </row>
    <row r="2938" spans="1:21" x14ac:dyDescent="0.3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  <c r="U2938">
        <f>IF(ChurnData[[#This Row],[churn]]="yes",1,0)</f>
        <v>0</v>
      </c>
    </row>
    <row r="2939" spans="1:21" x14ac:dyDescent="0.3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  <c r="U2939">
        <f>IF(ChurnData[[#This Row],[churn]]="yes",1,0)</f>
        <v>0</v>
      </c>
    </row>
    <row r="2940" spans="1:21" x14ac:dyDescent="0.3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  <c r="U2940">
        <f>IF(ChurnData[[#This Row],[churn]]="yes",1,0)</f>
        <v>0</v>
      </c>
    </row>
    <row r="2941" spans="1:21" x14ac:dyDescent="0.3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  <c r="U2941">
        <f>IF(ChurnData[[#This Row],[churn]]="yes",1,0)</f>
        <v>0</v>
      </c>
    </row>
    <row r="2942" spans="1:21" x14ac:dyDescent="0.3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  <c r="U2942">
        <f>IF(ChurnData[[#This Row],[churn]]="yes",1,0)</f>
        <v>1</v>
      </c>
    </row>
    <row r="2943" spans="1:21" x14ac:dyDescent="0.3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  <c r="U2943">
        <f>IF(ChurnData[[#This Row],[churn]]="yes",1,0)</f>
        <v>0</v>
      </c>
    </row>
    <row r="2944" spans="1:21" x14ac:dyDescent="0.3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  <c r="U2944">
        <f>IF(ChurnData[[#This Row],[churn]]="yes",1,0)</f>
        <v>0</v>
      </c>
    </row>
    <row r="2945" spans="1:21" x14ac:dyDescent="0.3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  <c r="U2945">
        <f>IF(ChurnData[[#This Row],[churn]]="yes",1,0)</f>
        <v>0</v>
      </c>
    </row>
    <row r="2946" spans="1:21" x14ac:dyDescent="0.3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  <c r="U2946">
        <f>IF(ChurnData[[#This Row],[churn]]="yes",1,0)</f>
        <v>0</v>
      </c>
    </row>
    <row r="2947" spans="1:21" x14ac:dyDescent="0.3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  <c r="U2947">
        <f>IF(ChurnData[[#This Row],[churn]]="yes",1,0)</f>
        <v>0</v>
      </c>
    </row>
    <row r="2948" spans="1:21" x14ac:dyDescent="0.3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  <c r="U2948">
        <f>IF(ChurnData[[#This Row],[churn]]="yes",1,0)</f>
        <v>0</v>
      </c>
    </row>
    <row r="2949" spans="1:21" x14ac:dyDescent="0.3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  <c r="U2949">
        <f>IF(ChurnData[[#This Row],[churn]]="yes",1,0)</f>
        <v>0</v>
      </c>
    </row>
    <row r="2950" spans="1:21" x14ac:dyDescent="0.3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  <c r="U2950">
        <f>IF(ChurnData[[#This Row],[churn]]="yes",1,0)</f>
        <v>0</v>
      </c>
    </row>
    <row r="2951" spans="1:21" x14ac:dyDescent="0.3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  <c r="U2951">
        <f>IF(ChurnData[[#This Row],[churn]]="yes",1,0)</f>
        <v>0</v>
      </c>
    </row>
    <row r="2952" spans="1:21" x14ac:dyDescent="0.3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  <c r="U2952">
        <f>IF(ChurnData[[#This Row],[churn]]="yes",1,0)</f>
        <v>0</v>
      </c>
    </row>
    <row r="2953" spans="1:21" x14ac:dyDescent="0.3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  <c r="U2953">
        <f>IF(ChurnData[[#This Row],[churn]]="yes",1,0)</f>
        <v>1</v>
      </c>
    </row>
    <row r="2954" spans="1:21" x14ac:dyDescent="0.3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  <c r="U2954">
        <f>IF(ChurnData[[#This Row],[churn]]="yes",1,0)</f>
        <v>0</v>
      </c>
    </row>
    <row r="2955" spans="1:21" x14ac:dyDescent="0.3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  <c r="U2955">
        <f>IF(ChurnData[[#This Row],[churn]]="yes",1,0)</f>
        <v>0</v>
      </c>
    </row>
    <row r="2956" spans="1:21" x14ac:dyDescent="0.3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  <c r="U2956">
        <f>IF(ChurnData[[#This Row],[churn]]="yes",1,0)</f>
        <v>1</v>
      </c>
    </row>
    <row r="2957" spans="1:21" x14ac:dyDescent="0.3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  <c r="U2957">
        <f>IF(ChurnData[[#This Row],[churn]]="yes",1,0)</f>
        <v>1</v>
      </c>
    </row>
    <row r="2958" spans="1:21" x14ac:dyDescent="0.3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  <c r="U2958">
        <f>IF(ChurnData[[#This Row],[churn]]="yes",1,0)</f>
        <v>0</v>
      </c>
    </row>
    <row r="2959" spans="1:21" x14ac:dyDescent="0.3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  <c r="U2959">
        <f>IF(ChurnData[[#This Row],[churn]]="yes",1,0)</f>
        <v>0</v>
      </c>
    </row>
    <row r="2960" spans="1:21" x14ac:dyDescent="0.3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  <c r="U2960">
        <f>IF(ChurnData[[#This Row],[churn]]="yes",1,0)</f>
        <v>0</v>
      </c>
    </row>
    <row r="2961" spans="1:21" x14ac:dyDescent="0.3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  <c r="U2961">
        <f>IF(ChurnData[[#This Row],[churn]]="yes",1,0)</f>
        <v>0</v>
      </c>
    </row>
    <row r="2962" spans="1:21" x14ac:dyDescent="0.3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  <c r="U2962">
        <f>IF(ChurnData[[#This Row],[churn]]="yes",1,0)</f>
        <v>1</v>
      </c>
    </row>
    <row r="2963" spans="1:21" x14ac:dyDescent="0.3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  <c r="U2963">
        <f>IF(ChurnData[[#This Row],[churn]]="yes",1,0)</f>
        <v>0</v>
      </c>
    </row>
    <row r="2964" spans="1:21" x14ac:dyDescent="0.3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  <c r="U2964">
        <f>IF(ChurnData[[#This Row],[churn]]="yes",1,0)</f>
        <v>0</v>
      </c>
    </row>
    <row r="2965" spans="1:21" x14ac:dyDescent="0.3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  <c r="U2965">
        <f>IF(ChurnData[[#This Row],[churn]]="yes",1,0)</f>
        <v>0</v>
      </c>
    </row>
    <row r="2966" spans="1:21" x14ac:dyDescent="0.3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  <c r="U2966">
        <f>IF(ChurnData[[#This Row],[churn]]="yes",1,0)</f>
        <v>0</v>
      </c>
    </row>
    <row r="2967" spans="1:21" x14ac:dyDescent="0.3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  <c r="U2967">
        <f>IF(ChurnData[[#This Row],[churn]]="yes",1,0)</f>
        <v>0</v>
      </c>
    </row>
    <row r="2968" spans="1:21" x14ac:dyDescent="0.3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  <c r="U2968">
        <f>IF(ChurnData[[#This Row],[churn]]="yes",1,0)</f>
        <v>0</v>
      </c>
    </row>
    <row r="2969" spans="1:21" x14ac:dyDescent="0.3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  <c r="U2969">
        <f>IF(ChurnData[[#This Row],[churn]]="yes",1,0)</f>
        <v>0</v>
      </c>
    </row>
    <row r="2970" spans="1:21" x14ac:dyDescent="0.3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  <c r="U2970">
        <f>IF(ChurnData[[#This Row],[churn]]="yes",1,0)</f>
        <v>0</v>
      </c>
    </row>
    <row r="2971" spans="1:21" x14ac:dyDescent="0.3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  <c r="U2971">
        <f>IF(ChurnData[[#This Row],[churn]]="yes",1,0)</f>
        <v>0</v>
      </c>
    </row>
    <row r="2972" spans="1:21" x14ac:dyDescent="0.3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  <c r="U2972">
        <f>IF(ChurnData[[#This Row],[churn]]="yes",1,0)</f>
        <v>0</v>
      </c>
    </row>
    <row r="2973" spans="1:21" x14ac:dyDescent="0.3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  <c r="U2973">
        <f>IF(ChurnData[[#This Row],[churn]]="yes",1,0)</f>
        <v>0</v>
      </c>
    </row>
    <row r="2974" spans="1:21" x14ac:dyDescent="0.3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  <c r="U2974">
        <f>IF(ChurnData[[#This Row],[churn]]="yes",1,0)</f>
        <v>0</v>
      </c>
    </row>
    <row r="2975" spans="1:21" x14ac:dyDescent="0.3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  <c r="U2975">
        <f>IF(ChurnData[[#This Row],[churn]]="yes",1,0)</f>
        <v>0</v>
      </c>
    </row>
    <row r="2976" spans="1:21" x14ac:dyDescent="0.3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  <c r="U2976">
        <f>IF(ChurnData[[#This Row],[churn]]="yes",1,0)</f>
        <v>0</v>
      </c>
    </row>
    <row r="2977" spans="1:21" x14ac:dyDescent="0.3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  <c r="U2977">
        <f>IF(ChurnData[[#This Row],[churn]]="yes",1,0)</f>
        <v>0</v>
      </c>
    </row>
    <row r="2978" spans="1:21" x14ac:dyDescent="0.3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  <c r="U2978">
        <f>IF(ChurnData[[#This Row],[churn]]="yes",1,0)</f>
        <v>0</v>
      </c>
    </row>
    <row r="2979" spans="1:21" x14ac:dyDescent="0.3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  <c r="U2979">
        <f>IF(ChurnData[[#This Row],[churn]]="yes",1,0)</f>
        <v>0</v>
      </c>
    </row>
    <row r="2980" spans="1:21" x14ac:dyDescent="0.3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  <c r="U2980">
        <f>IF(ChurnData[[#This Row],[churn]]="yes",1,0)</f>
        <v>0</v>
      </c>
    </row>
    <row r="2981" spans="1:21" x14ac:dyDescent="0.3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  <c r="U2981">
        <f>IF(ChurnData[[#This Row],[churn]]="yes",1,0)</f>
        <v>0</v>
      </c>
    </row>
    <row r="2982" spans="1:21" x14ac:dyDescent="0.3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  <c r="U2982">
        <f>IF(ChurnData[[#This Row],[churn]]="yes",1,0)</f>
        <v>1</v>
      </c>
    </row>
    <row r="2983" spans="1:21" x14ac:dyDescent="0.3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  <c r="U2983">
        <f>IF(ChurnData[[#This Row],[churn]]="yes",1,0)</f>
        <v>0</v>
      </c>
    </row>
    <row r="2984" spans="1:21" x14ac:dyDescent="0.3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  <c r="U2984">
        <f>IF(ChurnData[[#This Row],[churn]]="yes",1,0)</f>
        <v>0</v>
      </c>
    </row>
    <row r="2985" spans="1:21" x14ac:dyDescent="0.3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  <c r="U2985">
        <f>IF(ChurnData[[#This Row],[churn]]="yes",1,0)</f>
        <v>0</v>
      </c>
    </row>
    <row r="2986" spans="1:21" x14ac:dyDescent="0.3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  <c r="U2986">
        <f>IF(ChurnData[[#This Row],[churn]]="yes",1,0)</f>
        <v>0</v>
      </c>
    </row>
    <row r="2987" spans="1:21" x14ac:dyDescent="0.3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  <c r="U2987">
        <f>IF(ChurnData[[#This Row],[churn]]="yes",1,0)</f>
        <v>0</v>
      </c>
    </row>
    <row r="2988" spans="1:21" x14ac:dyDescent="0.3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  <c r="U2988">
        <f>IF(ChurnData[[#This Row],[churn]]="yes",1,0)</f>
        <v>0</v>
      </c>
    </row>
    <row r="2989" spans="1:21" x14ac:dyDescent="0.3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  <c r="U2989">
        <f>IF(ChurnData[[#This Row],[churn]]="yes",1,0)</f>
        <v>0</v>
      </c>
    </row>
    <row r="2990" spans="1:21" x14ac:dyDescent="0.3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  <c r="U2990">
        <f>IF(ChurnData[[#This Row],[churn]]="yes",1,0)</f>
        <v>0</v>
      </c>
    </row>
    <row r="2991" spans="1:21" x14ac:dyDescent="0.3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  <c r="U2991">
        <f>IF(ChurnData[[#This Row],[churn]]="yes",1,0)</f>
        <v>0</v>
      </c>
    </row>
    <row r="2992" spans="1:21" x14ac:dyDescent="0.3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  <c r="U2992">
        <f>IF(ChurnData[[#This Row],[churn]]="yes",1,0)</f>
        <v>0</v>
      </c>
    </row>
    <row r="2993" spans="1:21" x14ac:dyDescent="0.3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  <c r="U2993">
        <f>IF(ChurnData[[#This Row],[churn]]="yes",1,0)</f>
        <v>0</v>
      </c>
    </row>
    <row r="2994" spans="1:21" x14ac:dyDescent="0.3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  <c r="U2994">
        <f>IF(ChurnData[[#This Row],[churn]]="yes",1,0)</f>
        <v>0</v>
      </c>
    </row>
    <row r="2995" spans="1:21" x14ac:dyDescent="0.3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  <c r="U2995">
        <f>IF(ChurnData[[#This Row],[churn]]="yes",1,0)</f>
        <v>1</v>
      </c>
    </row>
    <row r="2996" spans="1:21" x14ac:dyDescent="0.3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  <c r="U2996">
        <f>IF(ChurnData[[#This Row],[churn]]="yes",1,0)</f>
        <v>0</v>
      </c>
    </row>
    <row r="2997" spans="1:21" x14ac:dyDescent="0.3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  <c r="U2997">
        <f>IF(ChurnData[[#This Row],[churn]]="yes",1,0)</f>
        <v>0</v>
      </c>
    </row>
    <row r="2998" spans="1:21" x14ac:dyDescent="0.3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  <c r="U2998">
        <f>IF(ChurnData[[#This Row],[churn]]="yes",1,0)</f>
        <v>0</v>
      </c>
    </row>
    <row r="2999" spans="1:21" x14ac:dyDescent="0.3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  <c r="U2999">
        <f>IF(ChurnData[[#This Row],[churn]]="yes",1,0)</f>
        <v>0</v>
      </c>
    </row>
    <row r="3000" spans="1:21" x14ac:dyDescent="0.3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  <c r="U3000">
        <f>IF(ChurnData[[#This Row],[churn]]="yes",1,0)</f>
        <v>0</v>
      </c>
    </row>
    <row r="3001" spans="1:21" x14ac:dyDescent="0.3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  <c r="U3001">
        <f>IF(ChurnData[[#This Row],[churn]]="yes",1,0)</f>
        <v>0</v>
      </c>
    </row>
    <row r="3002" spans="1:21" x14ac:dyDescent="0.3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  <c r="U3002">
        <f>IF(ChurnData[[#This Row],[churn]]="yes",1,0)</f>
        <v>1</v>
      </c>
    </row>
    <row r="3003" spans="1:21" x14ac:dyDescent="0.3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  <c r="U3003">
        <f>IF(ChurnData[[#This Row],[churn]]="yes",1,0)</f>
        <v>1</v>
      </c>
    </row>
    <row r="3004" spans="1:21" x14ac:dyDescent="0.3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  <c r="U3004">
        <f>IF(ChurnData[[#This Row],[churn]]="yes",1,0)</f>
        <v>0</v>
      </c>
    </row>
    <row r="3005" spans="1:21" x14ac:dyDescent="0.3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  <c r="U3005">
        <f>IF(ChurnData[[#This Row],[churn]]="yes",1,0)</f>
        <v>1</v>
      </c>
    </row>
    <row r="3006" spans="1:21" x14ac:dyDescent="0.3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  <c r="U3006">
        <f>IF(ChurnData[[#This Row],[churn]]="yes",1,0)</f>
        <v>0</v>
      </c>
    </row>
    <row r="3007" spans="1:21" x14ac:dyDescent="0.3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  <c r="U3007">
        <f>IF(ChurnData[[#This Row],[churn]]="yes",1,0)</f>
        <v>0</v>
      </c>
    </row>
    <row r="3008" spans="1:21" x14ac:dyDescent="0.3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  <c r="U3008">
        <f>IF(ChurnData[[#This Row],[churn]]="yes",1,0)</f>
        <v>1</v>
      </c>
    </row>
    <row r="3009" spans="1:21" x14ac:dyDescent="0.3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  <c r="U3009">
        <f>IF(ChurnData[[#This Row],[churn]]="yes",1,0)</f>
        <v>1</v>
      </c>
    </row>
    <row r="3010" spans="1:21" x14ac:dyDescent="0.3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  <c r="U3010">
        <f>IF(ChurnData[[#This Row],[churn]]="yes",1,0)</f>
        <v>0</v>
      </c>
    </row>
    <row r="3011" spans="1:21" x14ac:dyDescent="0.3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  <c r="U3011">
        <f>IF(ChurnData[[#This Row],[churn]]="yes",1,0)</f>
        <v>0</v>
      </c>
    </row>
    <row r="3012" spans="1:21" x14ac:dyDescent="0.3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  <c r="U3012">
        <f>IF(ChurnData[[#This Row],[churn]]="yes",1,0)</f>
        <v>0</v>
      </c>
    </row>
    <row r="3013" spans="1:21" x14ac:dyDescent="0.3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  <c r="U3013">
        <f>IF(ChurnData[[#This Row],[churn]]="yes",1,0)</f>
        <v>0</v>
      </c>
    </row>
    <row r="3014" spans="1:21" x14ac:dyDescent="0.3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  <c r="U3014">
        <f>IF(ChurnData[[#This Row],[churn]]="yes",1,0)</f>
        <v>0</v>
      </c>
    </row>
    <row r="3015" spans="1:21" x14ac:dyDescent="0.3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  <c r="U3015">
        <f>IF(ChurnData[[#This Row],[churn]]="yes",1,0)</f>
        <v>0</v>
      </c>
    </row>
    <row r="3016" spans="1:21" x14ac:dyDescent="0.3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  <c r="U3016">
        <f>IF(ChurnData[[#This Row],[churn]]="yes",1,0)</f>
        <v>0</v>
      </c>
    </row>
    <row r="3017" spans="1:21" x14ac:dyDescent="0.3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  <c r="U3017">
        <f>IF(ChurnData[[#This Row],[churn]]="yes",1,0)</f>
        <v>0</v>
      </c>
    </row>
    <row r="3018" spans="1:21" x14ac:dyDescent="0.3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  <c r="U3018">
        <f>IF(ChurnData[[#This Row],[churn]]="yes",1,0)</f>
        <v>0</v>
      </c>
    </row>
    <row r="3019" spans="1:21" x14ac:dyDescent="0.3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  <c r="U3019">
        <f>IF(ChurnData[[#This Row],[churn]]="yes",1,0)</f>
        <v>0</v>
      </c>
    </row>
    <row r="3020" spans="1:21" x14ac:dyDescent="0.3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  <c r="U3020">
        <f>IF(ChurnData[[#This Row],[churn]]="yes",1,0)</f>
        <v>0</v>
      </c>
    </row>
    <row r="3021" spans="1:21" x14ac:dyDescent="0.3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  <c r="U3021">
        <f>IF(ChurnData[[#This Row],[churn]]="yes",1,0)</f>
        <v>0</v>
      </c>
    </row>
    <row r="3022" spans="1:21" x14ac:dyDescent="0.3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  <c r="U3022">
        <f>IF(ChurnData[[#This Row],[churn]]="yes",1,0)</f>
        <v>0</v>
      </c>
    </row>
    <row r="3023" spans="1:21" x14ac:dyDescent="0.3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  <c r="U3023">
        <f>IF(ChurnData[[#This Row],[churn]]="yes",1,0)</f>
        <v>0</v>
      </c>
    </row>
    <row r="3024" spans="1:21" x14ac:dyDescent="0.3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  <c r="U3024">
        <f>IF(ChurnData[[#This Row],[churn]]="yes",1,0)</f>
        <v>0</v>
      </c>
    </row>
    <row r="3025" spans="1:21" x14ac:dyDescent="0.3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  <c r="U3025">
        <f>IF(ChurnData[[#This Row],[churn]]="yes",1,0)</f>
        <v>0</v>
      </c>
    </row>
    <row r="3026" spans="1:21" x14ac:dyDescent="0.3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  <c r="U3026">
        <f>IF(ChurnData[[#This Row],[churn]]="yes",1,0)</f>
        <v>0</v>
      </c>
    </row>
    <row r="3027" spans="1:21" x14ac:dyDescent="0.3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  <c r="U3027">
        <f>IF(ChurnData[[#This Row],[churn]]="yes",1,0)</f>
        <v>0</v>
      </c>
    </row>
    <row r="3028" spans="1:21" x14ac:dyDescent="0.3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  <c r="U3028">
        <f>IF(ChurnData[[#This Row],[churn]]="yes",1,0)</f>
        <v>0</v>
      </c>
    </row>
    <row r="3029" spans="1:21" x14ac:dyDescent="0.3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  <c r="U3029">
        <f>IF(ChurnData[[#This Row],[churn]]="yes",1,0)</f>
        <v>0</v>
      </c>
    </row>
    <row r="3030" spans="1:21" x14ac:dyDescent="0.3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  <c r="U3030">
        <f>IF(ChurnData[[#This Row],[churn]]="yes",1,0)</f>
        <v>0</v>
      </c>
    </row>
    <row r="3031" spans="1:21" x14ac:dyDescent="0.3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  <c r="U3031">
        <f>IF(ChurnData[[#This Row],[churn]]="yes",1,0)</f>
        <v>0</v>
      </c>
    </row>
    <row r="3032" spans="1:21" x14ac:dyDescent="0.3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  <c r="U3032">
        <f>IF(ChurnData[[#This Row],[churn]]="yes",1,0)</f>
        <v>1</v>
      </c>
    </row>
    <row r="3033" spans="1:21" x14ac:dyDescent="0.3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  <c r="U3033">
        <f>IF(ChurnData[[#This Row],[churn]]="yes",1,0)</f>
        <v>0</v>
      </c>
    </row>
    <row r="3034" spans="1:21" x14ac:dyDescent="0.3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  <c r="U3034">
        <f>IF(ChurnData[[#This Row],[churn]]="yes",1,0)</f>
        <v>1</v>
      </c>
    </row>
    <row r="3035" spans="1:21" x14ac:dyDescent="0.3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  <c r="U3035">
        <f>IF(ChurnData[[#This Row],[churn]]="yes",1,0)</f>
        <v>0</v>
      </c>
    </row>
    <row r="3036" spans="1:21" x14ac:dyDescent="0.3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  <c r="U3036">
        <f>IF(ChurnData[[#This Row],[churn]]="yes",1,0)</f>
        <v>0</v>
      </c>
    </row>
    <row r="3037" spans="1:21" x14ac:dyDescent="0.3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  <c r="U3037">
        <f>IF(ChurnData[[#This Row],[churn]]="yes",1,0)</f>
        <v>0</v>
      </c>
    </row>
    <row r="3038" spans="1:21" x14ac:dyDescent="0.3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  <c r="U3038">
        <f>IF(ChurnData[[#This Row],[churn]]="yes",1,0)</f>
        <v>0</v>
      </c>
    </row>
    <row r="3039" spans="1:21" x14ac:dyDescent="0.3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  <c r="U3039">
        <f>IF(ChurnData[[#This Row],[churn]]="yes",1,0)</f>
        <v>0</v>
      </c>
    </row>
    <row r="3040" spans="1:21" x14ac:dyDescent="0.3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  <c r="U3040">
        <f>IF(ChurnData[[#This Row],[churn]]="yes",1,0)</f>
        <v>1</v>
      </c>
    </row>
    <row r="3041" spans="1:21" x14ac:dyDescent="0.3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  <c r="U3041">
        <f>IF(ChurnData[[#This Row],[churn]]="yes",1,0)</f>
        <v>0</v>
      </c>
    </row>
    <row r="3042" spans="1:21" x14ac:dyDescent="0.3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  <c r="U3042">
        <f>IF(ChurnData[[#This Row],[churn]]="yes",1,0)</f>
        <v>0</v>
      </c>
    </row>
    <row r="3043" spans="1:21" x14ac:dyDescent="0.3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  <c r="U3043">
        <f>IF(ChurnData[[#This Row],[churn]]="yes",1,0)</f>
        <v>0</v>
      </c>
    </row>
    <row r="3044" spans="1:21" x14ac:dyDescent="0.3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  <c r="U3044">
        <f>IF(ChurnData[[#This Row],[churn]]="yes",1,0)</f>
        <v>0</v>
      </c>
    </row>
    <row r="3045" spans="1:21" x14ac:dyDescent="0.3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  <c r="U3045">
        <f>IF(ChurnData[[#This Row],[churn]]="yes",1,0)</f>
        <v>0</v>
      </c>
    </row>
    <row r="3046" spans="1:21" x14ac:dyDescent="0.3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  <c r="U3046">
        <f>IF(ChurnData[[#This Row],[churn]]="yes",1,0)</f>
        <v>1</v>
      </c>
    </row>
    <row r="3047" spans="1:21" x14ac:dyDescent="0.3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  <c r="U3047">
        <f>IF(ChurnData[[#This Row],[churn]]="yes",1,0)</f>
        <v>0</v>
      </c>
    </row>
    <row r="3048" spans="1:21" x14ac:dyDescent="0.3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  <c r="U3048">
        <f>IF(ChurnData[[#This Row],[churn]]="yes",1,0)</f>
        <v>1</v>
      </c>
    </row>
    <row r="3049" spans="1:21" x14ac:dyDescent="0.3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  <c r="U3049">
        <f>IF(ChurnData[[#This Row],[churn]]="yes",1,0)</f>
        <v>0</v>
      </c>
    </row>
    <row r="3050" spans="1:21" x14ac:dyDescent="0.3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  <c r="U3050">
        <f>IF(ChurnData[[#This Row],[churn]]="yes",1,0)</f>
        <v>0</v>
      </c>
    </row>
    <row r="3051" spans="1:21" x14ac:dyDescent="0.3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  <c r="U3051">
        <f>IF(ChurnData[[#This Row],[churn]]="yes",1,0)</f>
        <v>1</v>
      </c>
    </row>
    <row r="3052" spans="1:21" x14ac:dyDescent="0.3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  <c r="U3052">
        <f>IF(ChurnData[[#This Row],[churn]]="yes",1,0)</f>
        <v>1</v>
      </c>
    </row>
    <row r="3053" spans="1:21" x14ac:dyDescent="0.3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  <c r="U3053">
        <f>IF(ChurnData[[#This Row],[churn]]="yes",1,0)</f>
        <v>0</v>
      </c>
    </row>
    <row r="3054" spans="1:21" x14ac:dyDescent="0.3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  <c r="U3054">
        <f>IF(ChurnData[[#This Row],[churn]]="yes",1,0)</f>
        <v>1</v>
      </c>
    </row>
    <row r="3055" spans="1:21" x14ac:dyDescent="0.3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  <c r="U3055">
        <f>IF(ChurnData[[#This Row],[churn]]="yes",1,0)</f>
        <v>0</v>
      </c>
    </row>
    <row r="3056" spans="1:21" x14ac:dyDescent="0.3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  <c r="U3056">
        <f>IF(ChurnData[[#This Row],[churn]]="yes",1,0)</f>
        <v>0</v>
      </c>
    </row>
    <row r="3057" spans="1:21" x14ac:dyDescent="0.3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  <c r="U3057">
        <f>IF(ChurnData[[#This Row],[churn]]="yes",1,0)</f>
        <v>0</v>
      </c>
    </row>
    <row r="3058" spans="1:21" x14ac:dyDescent="0.3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  <c r="U3058">
        <f>IF(ChurnData[[#This Row],[churn]]="yes",1,0)</f>
        <v>0</v>
      </c>
    </row>
    <row r="3059" spans="1:21" x14ac:dyDescent="0.3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  <c r="U3059">
        <f>IF(ChurnData[[#This Row],[churn]]="yes",1,0)</f>
        <v>0</v>
      </c>
    </row>
    <row r="3060" spans="1:21" x14ac:dyDescent="0.3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  <c r="U3060">
        <f>IF(ChurnData[[#This Row],[churn]]="yes",1,0)</f>
        <v>0</v>
      </c>
    </row>
    <row r="3061" spans="1:21" x14ac:dyDescent="0.3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  <c r="U3061">
        <f>IF(ChurnData[[#This Row],[churn]]="yes",1,0)</f>
        <v>0</v>
      </c>
    </row>
    <row r="3062" spans="1:21" x14ac:dyDescent="0.3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  <c r="U3062">
        <f>IF(ChurnData[[#This Row],[churn]]="yes",1,0)</f>
        <v>1</v>
      </c>
    </row>
    <row r="3063" spans="1:21" x14ac:dyDescent="0.3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  <c r="U3063">
        <f>IF(ChurnData[[#This Row],[churn]]="yes",1,0)</f>
        <v>0</v>
      </c>
    </row>
    <row r="3064" spans="1:21" x14ac:dyDescent="0.3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  <c r="U3064">
        <f>IF(ChurnData[[#This Row],[churn]]="yes",1,0)</f>
        <v>1</v>
      </c>
    </row>
    <row r="3065" spans="1:21" x14ac:dyDescent="0.3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  <c r="U3065">
        <f>IF(ChurnData[[#This Row],[churn]]="yes",1,0)</f>
        <v>0</v>
      </c>
    </row>
    <row r="3066" spans="1:21" x14ac:dyDescent="0.3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  <c r="U3066">
        <f>IF(ChurnData[[#This Row],[churn]]="yes",1,0)</f>
        <v>0</v>
      </c>
    </row>
    <row r="3067" spans="1:21" x14ac:dyDescent="0.3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  <c r="U3067">
        <f>IF(ChurnData[[#This Row],[churn]]="yes",1,0)</f>
        <v>0</v>
      </c>
    </row>
    <row r="3068" spans="1:21" x14ac:dyDescent="0.3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  <c r="U3068">
        <f>IF(ChurnData[[#This Row],[churn]]="yes",1,0)</f>
        <v>0</v>
      </c>
    </row>
    <row r="3069" spans="1:21" x14ac:dyDescent="0.3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  <c r="U3069">
        <f>IF(ChurnData[[#This Row],[churn]]="yes",1,0)</f>
        <v>0</v>
      </c>
    </row>
    <row r="3070" spans="1:21" x14ac:dyDescent="0.3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  <c r="U3070">
        <f>IF(ChurnData[[#This Row],[churn]]="yes",1,0)</f>
        <v>0</v>
      </c>
    </row>
    <row r="3071" spans="1:21" x14ac:dyDescent="0.3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  <c r="U3071">
        <f>IF(ChurnData[[#This Row],[churn]]="yes",1,0)</f>
        <v>0</v>
      </c>
    </row>
    <row r="3072" spans="1:21" x14ac:dyDescent="0.3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  <c r="U3072">
        <f>IF(ChurnData[[#This Row],[churn]]="yes",1,0)</f>
        <v>1</v>
      </c>
    </row>
    <row r="3073" spans="1:21" x14ac:dyDescent="0.3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  <c r="U3073">
        <f>IF(ChurnData[[#This Row],[churn]]="yes",1,0)</f>
        <v>0</v>
      </c>
    </row>
    <row r="3074" spans="1:21" x14ac:dyDescent="0.3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  <c r="U3074">
        <f>IF(ChurnData[[#This Row],[churn]]="yes",1,0)</f>
        <v>0</v>
      </c>
    </row>
    <row r="3075" spans="1:21" x14ac:dyDescent="0.3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  <c r="U3075">
        <f>IF(ChurnData[[#This Row],[churn]]="yes",1,0)</f>
        <v>0</v>
      </c>
    </row>
    <row r="3076" spans="1:21" x14ac:dyDescent="0.3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  <c r="U3076">
        <f>IF(ChurnData[[#This Row],[churn]]="yes",1,0)</f>
        <v>0</v>
      </c>
    </row>
    <row r="3077" spans="1:21" x14ac:dyDescent="0.3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  <c r="U3077">
        <f>IF(ChurnData[[#This Row],[churn]]="yes",1,0)</f>
        <v>0</v>
      </c>
    </row>
    <row r="3078" spans="1:21" x14ac:dyDescent="0.3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  <c r="U3078">
        <f>IF(ChurnData[[#This Row],[churn]]="yes",1,0)</f>
        <v>0</v>
      </c>
    </row>
    <row r="3079" spans="1:21" x14ac:dyDescent="0.3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  <c r="U3079">
        <f>IF(ChurnData[[#This Row],[churn]]="yes",1,0)</f>
        <v>0</v>
      </c>
    </row>
    <row r="3080" spans="1:21" x14ac:dyDescent="0.3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  <c r="U3080">
        <f>IF(ChurnData[[#This Row],[churn]]="yes",1,0)</f>
        <v>0</v>
      </c>
    </row>
    <row r="3081" spans="1:21" x14ac:dyDescent="0.3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  <c r="U3081">
        <f>IF(ChurnData[[#This Row],[churn]]="yes",1,0)</f>
        <v>0</v>
      </c>
    </row>
    <row r="3082" spans="1:21" x14ac:dyDescent="0.3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  <c r="U3082">
        <f>IF(ChurnData[[#This Row],[churn]]="yes",1,0)</f>
        <v>0</v>
      </c>
    </row>
    <row r="3083" spans="1:21" x14ac:dyDescent="0.3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  <c r="U3083">
        <f>IF(ChurnData[[#This Row],[churn]]="yes",1,0)</f>
        <v>0</v>
      </c>
    </row>
    <row r="3084" spans="1:21" x14ac:dyDescent="0.3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  <c r="U3084">
        <f>IF(ChurnData[[#This Row],[churn]]="yes",1,0)</f>
        <v>0</v>
      </c>
    </row>
    <row r="3085" spans="1:21" x14ac:dyDescent="0.3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  <c r="U3085">
        <f>IF(ChurnData[[#This Row],[churn]]="yes",1,0)</f>
        <v>0</v>
      </c>
    </row>
    <row r="3086" spans="1:21" x14ac:dyDescent="0.3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  <c r="U3086">
        <f>IF(ChurnData[[#This Row],[churn]]="yes",1,0)</f>
        <v>0</v>
      </c>
    </row>
    <row r="3087" spans="1:21" x14ac:dyDescent="0.3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  <c r="U3087">
        <f>IF(ChurnData[[#This Row],[churn]]="yes",1,0)</f>
        <v>1</v>
      </c>
    </row>
    <row r="3088" spans="1:21" x14ac:dyDescent="0.3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  <c r="U3088">
        <f>IF(ChurnData[[#This Row],[churn]]="yes",1,0)</f>
        <v>0</v>
      </c>
    </row>
    <row r="3089" spans="1:21" x14ac:dyDescent="0.3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  <c r="U3089">
        <f>IF(ChurnData[[#This Row],[churn]]="yes",1,0)</f>
        <v>0</v>
      </c>
    </row>
    <row r="3090" spans="1:21" x14ac:dyDescent="0.3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  <c r="U3090">
        <f>IF(ChurnData[[#This Row],[churn]]="yes",1,0)</f>
        <v>0</v>
      </c>
    </row>
    <row r="3091" spans="1:21" x14ac:dyDescent="0.3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  <c r="U3091">
        <f>IF(ChurnData[[#This Row],[churn]]="yes",1,0)</f>
        <v>0</v>
      </c>
    </row>
    <row r="3092" spans="1:21" x14ac:dyDescent="0.3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  <c r="U3092">
        <f>IF(ChurnData[[#This Row],[churn]]="yes",1,0)</f>
        <v>0</v>
      </c>
    </row>
    <row r="3093" spans="1:21" x14ac:dyDescent="0.3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  <c r="U3093">
        <f>IF(ChurnData[[#This Row],[churn]]="yes",1,0)</f>
        <v>0</v>
      </c>
    </row>
    <row r="3094" spans="1:21" x14ac:dyDescent="0.3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  <c r="U3094">
        <f>IF(ChurnData[[#This Row],[churn]]="yes",1,0)</f>
        <v>1</v>
      </c>
    </row>
    <row r="3095" spans="1:21" x14ac:dyDescent="0.3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  <c r="U3095">
        <f>IF(ChurnData[[#This Row],[churn]]="yes",1,0)</f>
        <v>0</v>
      </c>
    </row>
    <row r="3096" spans="1:21" x14ac:dyDescent="0.3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  <c r="U3096">
        <f>IF(ChurnData[[#This Row],[churn]]="yes",1,0)</f>
        <v>1</v>
      </c>
    </row>
    <row r="3097" spans="1:21" x14ac:dyDescent="0.3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  <c r="U3097">
        <f>IF(ChurnData[[#This Row],[churn]]="yes",1,0)</f>
        <v>0</v>
      </c>
    </row>
    <row r="3098" spans="1:21" x14ac:dyDescent="0.3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  <c r="U3098">
        <f>IF(ChurnData[[#This Row],[churn]]="yes",1,0)</f>
        <v>0</v>
      </c>
    </row>
    <row r="3099" spans="1:21" x14ac:dyDescent="0.3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  <c r="U3099">
        <f>IF(ChurnData[[#This Row],[churn]]="yes",1,0)</f>
        <v>0</v>
      </c>
    </row>
    <row r="3100" spans="1:21" x14ac:dyDescent="0.3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  <c r="U3100">
        <f>IF(ChurnData[[#This Row],[churn]]="yes",1,0)</f>
        <v>0</v>
      </c>
    </row>
    <row r="3101" spans="1:21" x14ac:dyDescent="0.3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  <c r="U3101">
        <f>IF(ChurnData[[#This Row],[churn]]="yes",1,0)</f>
        <v>0</v>
      </c>
    </row>
    <row r="3102" spans="1:21" x14ac:dyDescent="0.3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  <c r="U3102">
        <f>IF(ChurnData[[#This Row],[churn]]="yes",1,0)</f>
        <v>0</v>
      </c>
    </row>
    <row r="3103" spans="1:21" x14ac:dyDescent="0.3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  <c r="U3103">
        <f>IF(ChurnData[[#This Row],[churn]]="yes",1,0)</f>
        <v>0</v>
      </c>
    </row>
    <row r="3104" spans="1:21" x14ac:dyDescent="0.3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  <c r="U3104">
        <f>IF(ChurnData[[#This Row],[churn]]="yes",1,0)</f>
        <v>0</v>
      </c>
    </row>
    <row r="3105" spans="1:21" x14ac:dyDescent="0.3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  <c r="U3105">
        <f>IF(ChurnData[[#This Row],[churn]]="yes",1,0)</f>
        <v>0</v>
      </c>
    </row>
    <row r="3106" spans="1:21" x14ac:dyDescent="0.3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  <c r="U3106">
        <f>IF(ChurnData[[#This Row],[churn]]="yes",1,0)</f>
        <v>0</v>
      </c>
    </row>
    <row r="3107" spans="1:21" x14ac:dyDescent="0.3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  <c r="U3107">
        <f>IF(ChurnData[[#This Row],[churn]]="yes",1,0)</f>
        <v>0</v>
      </c>
    </row>
    <row r="3108" spans="1:21" x14ac:dyDescent="0.3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  <c r="U3108">
        <f>IF(ChurnData[[#This Row],[churn]]="yes",1,0)</f>
        <v>0</v>
      </c>
    </row>
    <row r="3109" spans="1:21" x14ac:dyDescent="0.3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  <c r="U3109">
        <f>IF(ChurnData[[#This Row],[churn]]="yes",1,0)</f>
        <v>0</v>
      </c>
    </row>
    <row r="3110" spans="1:21" x14ac:dyDescent="0.3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  <c r="U3110">
        <f>IF(ChurnData[[#This Row],[churn]]="yes",1,0)</f>
        <v>0</v>
      </c>
    </row>
    <row r="3111" spans="1:21" x14ac:dyDescent="0.3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  <c r="U3111">
        <f>IF(ChurnData[[#This Row],[churn]]="yes",1,0)</f>
        <v>1</v>
      </c>
    </row>
    <row r="3112" spans="1:21" x14ac:dyDescent="0.3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  <c r="U3112">
        <f>IF(ChurnData[[#This Row],[churn]]="yes",1,0)</f>
        <v>0</v>
      </c>
    </row>
    <row r="3113" spans="1:21" x14ac:dyDescent="0.3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  <c r="U3113">
        <f>IF(ChurnData[[#This Row],[churn]]="yes",1,0)</f>
        <v>1</v>
      </c>
    </row>
    <row r="3114" spans="1:21" x14ac:dyDescent="0.3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  <c r="U3114">
        <f>IF(ChurnData[[#This Row],[churn]]="yes",1,0)</f>
        <v>0</v>
      </c>
    </row>
    <row r="3115" spans="1:21" x14ac:dyDescent="0.3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  <c r="U3115">
        <f>IF(ChurnData[[#This Row],[churn]]="yes",1,0)</f>
        <v>0</v>
      </c>
    </row>
    <row r="3116" spans="1:21" x14ac:dyDescent="0.3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  <c r="U3116">
        <f>IF(ChurnData[[#This Row],[churn]]="yes",1,0)</f>
        <v>0</v>
      </c>
    </row>
    <row r="3117" spans="1:21" x14ac:dyDescent="0.3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  <c r="U3117">
        <f>IF(ChurnData[[#This Row],[churn]]="yes",1,0)</f>
        <v>1</v>
      </c>
    </row>
    <row r="3118" spans="1:21" x14ac:dyDescent="0.3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  <c r="U3118">
        <f>IF(ChurnData[[#This Row],[churn]]="yes",1,0)</f>
        <v>0</v>
      </c>
    </row>
    <row r="3119" spans="1:21" x14ac:dyDescent="0.3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  <c r="U3119">
        <f>IF(ChurnData[[#This Row],[churn]]="yes",1,0)</f>
        <v>0</v>
      </c>
    </row>
    <row r="3120" spans="1:21" x14ac:dyDescent="0.3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  <c r="U3120">
        <f>IF(ChurnData[[#This Row],[churn]]="yes",1,0)</f>
        <v>0</v>
      </c>
    </row>
    <row r="3121" spans="1:21" x14ac:dyDescent="0.3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  <c r="U3121">
        <f>IF(ChurnData[[#This Row],[churn]]="yes",1,0)</f>
        <v>0</v>
      </c>
    </row>
    <row r="3122" spans="1:21" x14ac:dyDescent="0.3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  <c r="U3122">
        <f>IF(ChurnData[[#This Row],[churn]]="yes",1,0)</f>
        <v>0</v>
      </c>
    </row>
    <row r="3123" spans="1:21" x14ac:dyDescent="0.3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  <c r="U3123">
        <f>IF(ChurnData[[#This Row],[churn]]="yes",1,0)</f>
        <v>0</v>
      </c>
    </row>
    <row r="3124" spans="1:21" x14ac:dyDescent="0.3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  <c r="U3124">
        <f>IF(ChurnData[[#This Row],[churn]]="yes",1,0)</f>
        <v>0</v>
      </c>
    </row>
    <row r="3125" spans="1:21" x14ac:dyDescent="0.3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  <c r="U3125">
        <f>IF(ChurnData[[#This Row],[churn]]="yes",1,0)</f>
        <v>0</v>
      </c>
    </row>
    <row r="3126" spans="1:21" x14ac:dyDescent="0.3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  <c r="U3126">
        <f>IF(ChurnData[[#This Row],[churn]]="yes",1,0)</f>
        <v>1</v>
      </c>
    </row>
    <row r="3127" spans="1:21" x14ac:dyDescent="0.3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  <c r="U3127">
        <f>IF(ChurnData[[#This Row],[churn]]="yes",1,0)</f>
        <v>0</v>
      </c>
    </row>
    <row r="3128" spans="1:21" x14ac:dyDescent="0.3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  <c r="U3128">
        <f>IF(ChurnData[[#This Row],[churn]]="yes",1,0)</f>
        <v>0</v>
      </c>
    </row>
    <row r="3129" spans="1:21" x14ac:dyDescent="0.3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  <c r="U3129">
        <f>IF(ChurnData[[#This Row],[churn]]="yes",1,0)</f>
        <v>0</v>
      </c>
    </row>
    <row r="3130" spans="1:21" x14ac:dyDescent="0.3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  <c r="U3130">
        <f>IF(ChurnData[[#This Row],[churn]]="yes",1,0)</f>
        <v>0</v>
      </c>
    </row>
    <row r="3131" spans="1:21" x14ac:dyDescent="0.3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  <c r="U3131">
        <f>IF(ChurnData[[#This Row],[churn]]="yes",1,0)</f>
        <v>0</v>
      </c>
    </row>
    <row r="3132" spans="1:21" x14ac:dyDescent="0.3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  <c r="U3132">
        <f>IF(ChurnData[[#This Row],[churn]]="yes",1,0)</f>
        <v>0</v>
      </c>
    </row>
    <row r="3133" spans="1:21" x14ac:dyDescent="0.3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  <c r="U3133">
        <f>IF(ChurnData[[#This Row],[churn]]="yes",1,0)</f>
        <v>0</v>
      </c>
    </row>
    <row r="3134" spans="1:21" x14ac:dyDescent="0.3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  <c r="U3134">
        <f>IF(ChurnData[[#This Row],[churn]]="yes",1,0)</f>
        <v>0</v>
      </c>
    </row>
    <row r="3135" spans="1:21" x14ac:dyDescent="0.3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  <c r="U3135">
        <f>IF(ChurnData[[#This Row],[churn]]="yes",1,0)</f>
        <v>0</v>
      </c>
    </row>
    <row r="3136" spans="1:21" x14ac:dyDescent="0.3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  <c r="U3136">
        <f>IF(ChurnData[[#This Row],[churn]]="yes",1,0)</f>
        <v>0</v>
      </c>
    </row>
    <row r="3137" spans="1:21" x14ac:dyDescent="0.3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  <c r="U3137">
        <f>IF(ChurnData[[#This Row],[churn]]="yes",1,0)</f>
        <v>0</v>
      </c>
    </row>
    <row r="3138" spans="1:21" x14ac:dyDescent="0.3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  <c r="U3138">
        <f>IF(ChurnData[[#This Row],[churn]]="yes",1,0)</f>
        <v>0</v>
      </c>
    </row>
    <row r="3139" spans="1:21" x14ac:dyDescent="0.3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  <c r="U3139">
        <f>IF(ChurnData[[#This Row],[churn]]="yes",1,0)</f>
        <v>1</v>
      </c>
    </row>
    <row r="3140" spans="1:21" x14ac:dyDescent="0.3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  <c r="U3140">
        <f>IF(ChurnData[[#This Row],[churn]]="yes",1,0)</f>
        <v>0</v>
      </c>
    </row>
    <row r="3141" spans="1:21" x14ac:dyDescent="0.3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  <c r="U3141">
        <f>IF(ChurnData[[#This Row],[churn]]="yes",1,0)</f>
        <v>0</v>
      </c>
    </row>
    <row r="3142" spans="1:21" x14ac:dyDescent="0.3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  <c r="U3142">
        <f>IF(ChurnData[[#This Row],[churn]]="yes",1,0)</f>
        <v>0</v>
      </c>
    </row>
    <row r="3143" spans="1:21" x14ac:dyDescent="0.3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  <c r="U3143">
        <f>IF(ChurnData[[#This Row],[churn]]="yes",1,0)</f>
        <v>0</v>
      </c>
    </row>
    <row r="3144" spans="1:21" x14ac:dyDescent="0.3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  <c r="U3144">
        <f>IF(ChurnData[[#This Row],[churn]]="yes",1,0)</f>
        <v>0</v>
      </c>
    </row>
    <row r="3145" spans="1:21" x14ac:dyDescent="0.3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  <c r="U3145">
        <f>IF(ChurnData[[#This Row],[churn]]="yes",1,0)</f>
        <v>0</v>
      </c>
    </row>
    <row r="3146" spans="1:21" x14ac:dyDescent="0.3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  <c r="U3146">
        <f>IF(ChurnData[[#This Row],[churn]]="yes",1,0)</f>
        <v>0</v>
      </c>
    </row>
    <row r="3147" spans="1:21" x14ac:dyDescent="0.3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  <c r="U3147">
        <f>IF(ChurnData[[#This Row],[churn]]="yes",1,0)</f>
        <v>0</v>
      </c>
    </row>
    <row r="3148" spans="1:21" x14ac:dyDescent="0.3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  <c r="U3148">
        <f>IF(ChurnData[[#This Row],[churn]]="yes",1,0)</f>
        <v>0</v>
      </c>
    </row>
    <row r="3149" spans="1:21" x14ac:dyDescent="0.3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  <c r="U3149">
        <f>IF(ChurnData[[#This Row],[churn]]="yes",1,0)</f>
        <v>0</v>
      </c>
    </row>
    <row r="3150" spans="1:21" x14ac:dyDescent="0.3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  <c r="U3150">
        <f>IF(ChurnData[[#This Row],[churn]]="yes",1,0)</f>
        <v>0</v>
      </c>
    </row>
    <row r="3151" spans="1:21" x14ac:dyDescent="0.3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  <c r="U3151">
        <f>IF(ChurnData[[#This Row],[churn]]="yes",1,0)</f>
        <v>0</v>
      </c>
    </row>
    <row r="3152" spans="1:21" x14ac:dyDescent="0.3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  <c r="U3152">
        <f>IF(ChurnData[[#This Row],[churn]]="yes",1,0)</f>
        <v>0</v>
      </c>
    </row>
    <row r="3153" spans="1:21" x14ac:dyDescent="0.3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  <c r="U3153">
        <f>IF(ChurnData[[#This Row],[churn]]="yes",1,0)</f>
        <v>0</v>
      </c>
    </row>
    <row r="3154" spans="1:21" x14ac:dyDescent="0.3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  <c r="U3154">
        <f>IF(ChurnData[[#This Row],[churn]]="yes",1,0)</f>
        <v>0</v>
      </c>
    </row>
    <row r="3155" spans="1:21" x14ac:dyDescent="0.3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  <c r="U3155">
        <f>IF(ChurnData[[#This Row],[churn]]="yes",1,0)</f>
        <v>1</v>
      </c>
    </row>
    <row r="3156" spans="1:21" x14ac:dyDescent="0.3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  <c r="U3156">
        <f>IF(ChurnData[[#This Row],[churn]]="yes",1,0)</f>
        <v>0</v>
      </c>
    </row>
    <row r="3157" spans="1:21" x14ac:dyDescent="0.3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  <c r="U3157">
        <f>IF(ChurnData[[#This Row],[churn]]="yes",1,0)</f>
        <v>0</v>
      </c>
    </row>
    <row r="3158" spans="1:21" x14ac:dyDescent="0.3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  <c r="U3158">
        <f>IF(ChurnData[[#This Row],[churn]]="yes",1,0)</f>
        <v>0</v>
      </c>
    </row>
    <row r="3159" spans="1:21" x14ac:dyDescent="0.3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  <c r="U3159">
        <f>IF(ChurnData[[#This Row],[churn]]="yes",1,0)</f>
        <v>0</v>
      </c>
    </row>
    <row r="3160" spans="1:21" x14ac:dyDescent="0.3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  <c r="U3160">
        <f>IF(ChurnData[[#This Row],[churn]]="yes",1,0)</f>
        <v>1</v>
      </c>
    </row>
    <row r="3161" spans="1:21" x14ac:dyDescent="0.3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  <c r="U3161">
        <f>IF(ChurnData[[#This Row],[churn]]="yes",1,0)</f>
        <v>0</v>
      </c>
    </row>
    <row r="3162" spans="1:21" x14ac:dyDescent="0.3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  <c r="U3162">
        <f>IF(ChurnData[[#This Row],[churn]]="yes",1,0)</f>
        <v>0</v>
      </c>
    </row>
    <row r="3163" spans="1:21" x14ac:dyDescent="0.3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  <c r="U3163">
        <f>IF(ChurnData[[#This Row],[churn]]="yes",1,0)</f>
        <v>0</v>
      </c>
    </row>
    <row r="3164" spans="1:21" x14ac:dyDescent="0.3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  <c r="U3164">
        <f>IF(ChurnData[[#This Row],[churn]]="yes",1,0)</f>
        <v>0</v>
      </c>
    </row>
    <row r="3165" spans="1:21" x14ac:dyDescent="0.3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  <c r="U3165">
        <f>IF(ChurnData[[#This Row],[churn]]="yes",1,0)</f>
        <v>0</v>
      </c>
    </row>
    <row r="3166" spans="1:21" x14ac:dyDescent="0.3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  <c r="U3166">
        <f>IF(ChurnData[[#This Row],[churn]]="yes",1,0)</f>
        <v>0</v>
      </c>
    </row>
    <row r="3167" spans="1:21" x14ac:dyDescent="0.3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  <c r="U3167">
        <f>IF(ChurnData[[#This Row],[churn]]="yes",1,0)</f>
        <v>0</v>
      </c>
    </row>
    <row r="3168" spans="1:21" x14ac:dyDescent="0.3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  <c r="U3168">
        <f>IF(ChurnData[[#This Row],[churn]]="yes",1,0)</f>
        <v>1</v>
      </c>
    </row>
    <row r="3169" spans="1:21" x14ac:dyDescent="0.3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  <c r="U3169">
        <f>IF(ChurnData[[#This Row],[churn]]="yes",1,0)</f>
        <v>0</v>
      </c>
    </row>
    <row r="3170" spans="1:21" x14ac:dyDescent="0.3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  <c r="U3170">
        <f>IF(ChurnData[[#This Row],[churn]]="yes",1,0)</f>
        <v>0</v>
      </c>
    </row>
    <row r="3171" spans="1:21" x14ac:dyDescent="0.3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  <c r="U3171">
        <f>IF(ChurnData[[#This Row],[churn]]="yes",1,0)</f>
        <v>0</v>
      </c>
    </row>
    <row r="3172" spans="1:21" x14ac:dyDescent="0.3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  <c r="U3172">
        <f>IF(ChurnData[[#This Row],[churn]]="yes",1,0)</f>
        <v>0</v>
      </c>
    </row>
    <row r="3173" spans="1:21" x14ac:dyDescent="0.3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  <c r="U3173">
        <f>IF(ChurnData[[#This Row],[churn]]="yes",1,0)</f>
        <v>0</v>
      </c>
    </row>
    <row r="3174" spans="1:21" x14ac:dyDescent="0.3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  <c r="U3174">
        <f>IF(ChurnData[[#This Row],[churn]]="yes",1,0)</f>
        <v>0</v>
      </c>
    </row>
    <row r="3175" spans="1:21" x14ac:dyDescent="0.3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  <c r="U3175">
        <f>IF(ChurnData[[#This Row],[churn]]="yes",1,0)</f>
        <v>0</v>
      </c>
    </row>
    <row r="3176" spans="1:21" x14ac:dyDescent="0.3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  <c r="U3176">
        <f>IF(ChurnData[[#This Row],[churn]]="yes",1,0)</f>
        <v>1</v>
      </c>
    </row>
    <row r="3177" spans="1:21" x14ac:dyDescent="0.3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  <c r="U3177">
        <f>IF(ChurnData[[#This Row],[churn]]="yes",1,0)</f>
        <v>0</v>
      </c>
    </row>
    <row r="3178" spans="1:21" x14ac:dyDescent="0.3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  <c r="U3178">
        <f>IF(ChurnData[[#This Row],[churn]]="yes",1,0)</f>
        <v>0</v>
      </c>
    </row>
    <row r="3179" spans="1:21" x14ac:dyDescent="0.3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  <c r="U3179">
        <f>IF(ChurnData[[#This Row],[churn]]="yes",1,0)</f>
        <v>0</v>
      </c>
    </row>
    <row r="3180" spans="1:21" x14ac:dyDescent="0.3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  <c r="U3180">
        <f>IF(ChurnData[[#This Row],[churn]]="yes",1,0)</f>
        <v>0</v>
      </c>
    </row>
    <row r="3181" spans="1:21" x14ac:dyDescent="0.3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  <c r="U3181">
        <f>IF(ChurnData[[#This Row],[churn]]="yes",1,0)</f>
        <v>0</v>
      </c>
    </row>
    <row r="3182" spans="1:21" x14ac:dyDescent="0.3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  <c r="U3182">
        <f>IF(ChurnData[[#This Row],[churn]]="yes",1,0)</f>
        <v>0</v>
      </c>
    </row>
    <row r="3183" spans="1:21" x14ac:dyDescent="0.3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  <c r="U3183">
        <f>IF(ChurnData[[#This Row],[churn]]="yes",1,0)</f>
        <v>0</v>
      </c>
    </row>
    <row r="3184" spans="1:21" x14ac:dyDescent="0.3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  <c r="U3184">
        <f>IF(ChurnData[[#This Row],[churn]]="yes",1,0)</f>
        <v>0</v>
      </c>
    </row>
    <row r="3185" spans="1:21" x14ac:dyDescent="0.3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  <c r="U3185">
        <f>IF(ChurnData[[#This Row],[churn]]="yes",1,0)</f>
        <v>0</v>
      </c>
    </row>
    <row r="3186" spans="1:21" x14ac:dyDescent="0.3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  <c r="U3186">
        <f>IF(ChurnData[[#This Row],[churn]]="yes",1,0)</f>
        <v>0</v>
      </c>
    </row>
    <row r="3187" spans="1:21" x14ac:dyDescent="0.3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  <c r="U3187">
        <f>IF(ChurnData[[#This Row],[churn]]="yes",1,0)</f>
        <v>0</v>
      </c>
    </row>
    <row r="3188" spans="1:21" x14ac:dyDescent="0.3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  <c r="U3188">
        <f>IF(ChurnData[[#This Row],[churn]]="yes",1,0)</f>
        <v>0</v>
      </c>
    </row>
    <row r="3189" spans="1:21" x14ac:dyDescent="0.3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  <c r="U3189">
        <f>IF(ChurnData[[#This Row],[churn]]="yes",1,0)</f>
        <v>0</v>
      </c>
    </row>
    <row r="3190" spans="1:21" x14ac:dyDescent="0.3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  <c r="U3190">
        <f>IF(ChurnData[[#This Row],[churn]]="yes",1,0)</f>
        <v>0</v>
      </c>
    </row>
    <row r="3191" spans="1:21" x14ac:dyDescent="0.3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  <c r="U3191">
        <f>IF(ChurnData[[#This Row],[churn]]="yes",1,0)</f>
        <v>0</v>
      </c>
    </row>
    <row r="3192" spans="1:21" x14ac:dyDescent="0.3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  <c r="U3192">
        <f>IF(ChurnData[[#This Row],[churn]]="yes",1,0)</f>
        <v>0</v>
      </c>
    </row>
    <row r="3193" spans="1:21" x14ac:dyDescent="0.3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  <c r="U3193">
        <f>IF(ChurnData[[#This Row],[churn]]="yes",1,0)</f>
        <v>0</v>
      </c>
    </row>
    <row r="3194" spans="1:21" x14ac:dyDescent="0.3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  <c r="U3194">
        <f>IF(ChurnData[[#This Row],[churn]]="yes",1,0)</f>
        <v>0</v>
      </c>
    </row>
    <row r="3195" spans="1:21" x14ac:dyDescent="0.3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  <c r="U3195">
        <f>IF(ChurnData[[#This Row],[churn]]="yes",1,0)</f>
        <v>0</v>
      </c>
    </row>
    <row r="3196" spans="1:21" x14ac:dyDescent="0.3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  <c r="U3196">
        <f>IF(ChurnData[[#This Row],[churn]]="yes",1,0)</f>
        <v>0</v>
      </c>
    </row>
    <row r="3197" spans="1:21" x14ac:dyDescent="0.3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  <c r="U3197">
        <f>IF(ChurnData[[#This Row],[churn]]="yes",1,0)</f>
        <v>0</v>
      </c>
    </row>
    <row r="3198" spans="1:21" x14ac:dyDescent="0.3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  <c r="U3198">
        <f>IF(ChurnData[[#This Row],[churn]]="yes",1,0)</f>
        <v>0</v>
      </c>
    </row>
    <row r="3199" spans="1:21" x14ac:dyDescent="0.3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  <c r="U3199">
        <f>IF(ChurnData[[#This Row],[churn]]="yes",1,0)</f>
        <v>0</v>
      </c>
    </row>
    <row r="3200" spans="1:21" x14ac:dyDescent="0.3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  <c r="U3200">
        <f>IF(ChurnData[[#This Row],[churn]]="yes",1,0)</f>
        <v>0</v>
      </c>
    </row>
    <row r="3201" spans="1:21" x14ac:dyDescent="0.3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  <c r="U3201">
        <f>IF(ChurnData[[#This Row],[churn]]="yes",1,0)</f>
        <v>0</v>
      </c>
    </row>
    <row r="3202" spans="1:21" x14ac:dyDescent="0.3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  <c r="U3202">
        <f>IF(ChurnData[[#This Row],[churn]]="yes",1,0)</f>
        <v>0</v>
      </c>
    </row>
    <row r="3203" spans="1:21" x14ac:dyDescent="0.3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  <c r="U3203">
        <f>IF(ChurnData[[#This Row],[churn]]="yes",1,0)</f>
        <v>0</v>
      </c>
    </row>
    <row r="3204" spans="1:21" x14ac:dyDescent="0.3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  <c r="U3204">
        <f>IF(ChurnData[[#This Row],[churn]]="yes",1,0)</f>
        <v>0</v>
      </c>
    </row>
    <row r="3205" spans="1:21" x14ac:dyDescent="0.3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  <c r="U3205">
        <f>IF(ChurnData[[#This Row],[churn]]="yes",1,0)</f>
        <v>0</v>
      </c>
    </row>
    <row r="3206" spans="1:21" x14ac:dyDescent="0.3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  <c r="U3206">
        <f>IF(ChurnData[[#This Row],[churn]]="yes",1,0)</f>
        <v>0</v>
      </c>
    </row>
    <row r="3207" spans="1:21" x14ac:dyDescent="0.3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  <c r="U3207">
        <f>IF(ChurnData[[#This Row],[churn]]="yes",1,0)</f>
        <v>0</v>
      </c>
    </row>
    <row r="3208" spans="1:21" x14ac:dyDescent="0.3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  <c r="U3208">
        <f>IF(ChurnData[[#This Row],[churn]]="yes",1,0)</f>
        <v>0</v>
      </c>
    </row>
    <row r="3209" spans="1:21" x14ac:dyDescent="0.3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  <c r="U3209">
        <f>IF(ChurnData[[#This Row],[churn]]="yes",1,0)</f>
        <v>1</v>
      </c>
    </row>
    <row r="3210" spans="1:21" x14ac:dyDescent="0.3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  <c r="U3210">
        <f>IF(ChurnData[[#This Row],[churn]]="yes",1,0)</f>
        <v>0</v>
      </c>
    </row>
    <row r="3211" spans="1:21" x14ac:dyDescent="0.3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  <c r="U3211">
        <f>IF(ChurnData[[#This Row],[churn]]="yes",1,0)</f>
        <v>0</v>
      </c>
    </row>
    <row r="3212" spans="1:21" x14ac:dyDescent="0.3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  <c r="U3212">
        <f>IF(ChurnData[[#This Row],[churn]]="yes",1,0)</f>
        <v>0</v>
      </c>
    </row>
    <row r="3213" spans="1:21" x14ac:dyDescent="0.3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  <c r="U3213">
        <f>IF(ChurnData[[#This Row],[churn]]="yes",1,0)</f>
        <v>0</v>
      </c>
    </row>
    <row r="3214" spans="1:21" x14ac:dyDescent="0.3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  <c r="U3214">
        <f>IF(ChurnData[[#This Row],[churn]]="yes",1,0)</f>
        <v>0</v>
      </c>
    </row>
    <row r="3215" spans="1:21" x14ac:dyDescent="0.3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  <c r="U3215">
        <f>IF(ChurnData[[#This Row],[churn]]="yes",1,0)</f>
        <v>0</v>
      </c>
    </row>
    <row r="3216" spans="1:21" x14ac:dyDescent="0.3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  <c r="U3216">
        <f>IF(ChurnData[[#This Row],[churn]]="yes",1,0)</f>
        <v>0</v>
      </c>
    </row>
    <row r="3217" spans="1:21" x14ac:dyDescent="0.3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  <c r="U3217">
        <f>IF(ChurnData[[#This Row],[churn]]="yes",1,0)</f>
        <v>0</v>
      </c>
    </row>
    <row r="3218" spans="1:21" x14ac:dyDescent="0.3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  <c r="U3218">
        <f>IF(ChurnData[[#This Row],[churn]]="yes",1,0)</f>
        <v>0</v>
      </c>
    </row>
    <row r="3219" spans="1:21" x14ac:dyDescent="0.3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  <c r="U3219">
        <f>IF(ChurnData[[#This Row],[churn]]="yes",1,0)</f>
        <v>1</v>
      </c>
    </row>
    <row r="3220" spans="1:21" x14ac:dyDescent="0.3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  <c r="U3220">
        <f>IF(ChurnData[[#This Row],[churn]]="yes",1,0)</f>
        <v>0</v>
      </c>
    </row>
    <row r="3221" spans="1:21" x14ac:dyDescent="0.3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  <c r="U3221">
        <f>IF(ChurnData[[#This Row],[churn]]="yes",1,0)</f>
        <v>0</v>
      </c>
    </row>
    <row r="3222" spans="1:21" x14ac:dyDescent="0.3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  <c r="U3222">
        <f>IF(ChurnData[[#This Row],[churn]]="yes",1,0)</f>
        <v>0</v>
      </c>
    </row>
    <row r="3223" spans="1:21" x14ac:dyDescent="0.3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  <c r="U3223">
        <f>IF(ChurnData[[#This Row],[churn]]="yes",1,0)</f>
        <v>0</v>
      </c>
    </row>
    <row r="3224" spans="1:21" x14ac:dyDescent="0.3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  <c r="U3224">
        <f>IF(ChurnData[[#This Row],[churn]]="yes",1,0)</f>
        <v>0</v>
      </c>
    </row>
    <row r="3225" spans="1:21" x14ac:dyDescent="0.3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  <c r="U3225">
        <f>IF(ChurnData[[#This Row],[churn]]="yes",1,0)</f>
        <v>0</v>
      </c>
    </row>
    <row r="3226" spans="1:21" x14ac:dyDescent="0.3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  <c r="U3226">
        <f>IF(ChurnData[[#This Row],[churn]]="yes",1,0)</f>
        <v>0</v>
      </c>
    </row>
    <row r="3227" spans="1:21" x14ac:dyDescent="0.3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  <c r="U3227">
        <f>IF(ChurnData[[#This Row],[churn]]="yes",1,0)</f>
        <v>0</v>
      </c>
    </row>
    <row r="3228" spans="1:21" x14ac:dyDescent="0.3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  <c r="U3228">
        <f>IF(ChurnData[[#This Row],[churn]]="yes",1,0)</f>
        <v>0</v>
      </c>
    </row>
    <row r="3229" spans="1:21" x14ac:dyDescent="0.3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  <c r="U3229">
        <f>IF(ChurnData[[#This Row],[churn]]="yes",1,0)</f>
        <v>0</v>
      </c>
    </row>
    <row r="3230" spans="1:21" x14ac:dyDescent="0.3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  <c r="U3230">
        <f>IF(ChurnData[[#This Row],[churn]]="yes",1,0)</f>
        <v>0</v>
      </c>
    </row>
    <row r="3231" spans="1:21" x14ac:dyDescent="0.3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  <c r="U3231">
        <f>IF(ChurnData[[#This Row],[churn]]="yes",1,0)</f>
        <v>0</v>
      </c>
    </row>
    <row r="3232" spans="1:21" x14ac:dyDescent="0.3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  <c r="U3232">
        <f>IF(ChurnData[[#This Row],[churn]]="yes",1,0)</f>
        <v>0</v>
      </c>
    </row>
    <row r="3233" spans="1:21" x14ac:dyDescent="0.3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  <c r="U3233">
        <f>IF(ChurnData[[#This Row],[churn]]="yes",1,0)</f>
        <v>0</v>
      </c>
    </row>
    <row r="3234" spans="1:21" x14ac:dyDescent="0.3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  <c r="U3234">
        <f>IF(ChurnData[[#This Row],[churn]]="yes",1,0)</f>
        <v>1</v>
      </c>
    </row>
    <row r="3235" spans="1:21" x14ac:dyDescent="0.3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  <c r="U3235">
        <f>IF(ChurnData[[#This Row],[churn]]="yes",1,0)</f>
        <v>0</v>
      </c>
    </row>
    <row r="3236" spans="1:21" x14ac:dyDescent="0.3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  <c r="U3236">
        <f>IF(ChurnData[[#This Row],[churn]]="yes",1,0)</f>
        <v>0</v>
      </c>
    </row>
    <row r="3237" spans="1:21" x14ac:dyDescent="0.3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  <c r="U3237">
        <f>IF(ChurnData[[#This Row],[churn]]="yes",1,0)</f>
        <v>0</v>
      </c>
    </row>
    <row r="3238" spans="1:21" x14ac:dyDescent="0.3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  <c r="U3238">
        <f>IF(ChurnData[[#This Row],[churn]]="yes",1,0)</f>
        <v>0</v>
      </c>
    </row>
    <row r="3239" spans="1:21" x14ac:dyDescent="0.3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  <c r="U3239">
        <f>IF(ChurnData[[#This Row],[churn]]="yes",1,0)</f>
        <v>0</v>
      </c>
    </row>
    <row r="3240" spans="1:21" x14ac:dyDescent="0.3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  <c r="U3240">
        <f>IF(ChurnData[[#This Row],[churn]]="yes",1,0)</f>
        <v>0</v>
      </c>
    </row>
    <row r="3241" spans="1:21" x14ac:dyDescent="0.3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  <c r="U3241">
        <f>IF(ChurnData[[#This Row],[churn]]="yes",1,0)</f>
        <v>0</v>
      </c>
    </row>
    <row r="3242" spans="1:21" x14ac:dyDescent="0.3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  <c r="U3242">
        <f>IF(ChurnData[[#This Row],[churn]]="yes",1,0)</f>
        <v>0</v>
      </c>
    </row>
    <row r="3243" spans="1:21" x14ac:dyDescent="0.3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  <c r="U3243">
        <f>IF(ChurnData[[#This Row],[churn]]="yes",1,0)</f>
        <v>0</v>
      </c>
    </row>
    <row r="3244" spans="1:21" x14ac:dyDescent="0.3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  <c r="U3244">
        <f>IF(ChurnData[[#This Row],[churn]]="yes",1,0)</f>
        <v>0</v>
      </c>
    </row>
    <row r="3245" spans="1:21" x14ac:dyDescent="0.3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  <c r="U3245">
        <f>IF(ChurnData[[#This Row],[churn]]="yes",1,0)</f>
        <v>0</v>
      </c>
    </row>
    <row r="3246" spans="1:21" x14ac:dyDescent="0.3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  <c r="U3246">
        <f>IF(ChurnData[[#This Row],[churn]]="yes",1,0)</f>
        <v>0</v>
      </c>
    </row>
    <row r="3247" spans="1:21" x14ac:dyDescent="0.3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  <c r="U3247">
        <f>IF(ChurnData[[#This Row],[churn]]="yes",1,0)</f>
        <v>0</v>
      </c>
    </row>
    <row r="3248" spans="1:21" x14ac:dyDescent="0.3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  <c r="U3248">
        <f>IF(ChurnData[[#This Row],[churn]]="yes",1,0)</f>
        <v>0</v>
      </c>
    </row>
    <row r="3249" spans="1:21" x14ac:dyDescent="0.3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  <c r="U3249">
        <f>IF(ChurnData[[#This Row],[churn]]="yes",1,0)</f>
        <v>0</v>
      </c>
    </row>
    <row r="3250" spans="1:21" x14ac:dyDescent="0.3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  <c r="U3250">
        <f>IF(ChurnData[[#This Row],[churn]]="yes",1,0)</f>
        <v>1</v>
      </c>
    </row>
    <row r="3251" spans="1:21" x14ac:dyDescent="0.3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  <c r="U3251">
        <f>IF(ChurnData[[#This Row],[churn]]="yes",1,0)</f>
        <v>0</v>
      </c>
    </row>
    <row r="3252" spans="1:21" x14ac:dyDescent="0.3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  <c r="U3252">
        <f>IF(ChurnData[[#This Row],[churn]]="yes",1,0)</f>
        <v>0</v>
      </c>
    </row>
    <row r="3253" spans="1:21" x14ac:dyDescent="0.3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  <c r="U3253">
        <f>IF(ChurnData[[#This Row],[churn]]="yes",1,0)</f>
        <v>0</v>
      </c>
    </row>
    <row r="3254" spans="1:21" x14ac:dyDescent="0.3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  <c r="U3254">
        <f>IF(ChurnData[[#This Row],[churn]]="yes",1,0)</f>
        <v>0</v>
      </c>
    </row>
    <row r="3255" spans="1:21" x14ac:dyDescent="0.3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  <c r="U3255">
        <f>IF(ChurnData[[#This Row],[churn]]="yes",1,0)</f>
        <v>0</v>
      </c>
    </row>
    <row r="3256" spans="1:21" x14ac:dyDescent="0.3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  <c r="U3256">
        <f>IF(ChurnData[[#This Row],[churn]]="yes",1,0)</f>
        <v>1</v>
      </c>
    </row>
    <row r="3257" spans="1:21" x14ac:dyDescent="0.3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  <c r="U3257">
        <f>IF(ChurnData[[#This Row],[churn]]="yes",1,0)</f>
        <v>1</v>
      </c>
    </row>
    <row r="3258" spans="1:21" x14ac:dyDescent="0.3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  <c r="U3258">
        <f>IF(ChurnData[[#This Row],[churn]]="yes",1,0)</f>
        <v>0</v>
      </c>
    </row>
    <row r="3259" spans="1:21" x14ac:dyDescent="0.3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  <c r="U3259">
        <f>IF(ChurnData[[#This Row],[churn]]="yes",1,0)</f>
        <v>0</v>
      </c>
    </row>
    <row r="3260" spans="1:21" x14ac:dyDescent="0.3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  <c r="U3260">
        <f>IF(ChurnData[[#This Row],[churn]]="yes",1,0)</f>
        <v>0</v>
      </c>
    </row>
    <row r="3261" spans="1:21" x14ac:dyDescent="0.3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  <c r="U3261">
        <f>IF(ChurnData[[#This Row],[churn]]="yes",1,0)</f>
        <v>0</v>
      </c>
    </row>
    <row r="3262" spans="1:21" x14ac:dyDescent="0.3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  <c r="U3262">
        <f>IF(ChurnData[[#This Row],[churn]]="yes",1,0)</f>
        <v>0</v>
      </c>
    </row>
    <row r="3263" spans="1:21" x14ac:dyDescent="0.3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  <c r="U3263">
        <f>IF(ChurnData[[#This Row],[churn]]="yes",1,0)</f>
        <v>0</v>
      </c>
    </row>
    <row r="3264" spans="1:21" x14ac:dyDescent="0.3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  <c r="U3264">
        <f>IF(ChurnData[[#This Row],[churn]]="yes",1,0)</f>
        <v>0</v>
      </c>
    </row>
    <row r="3265" spans="1:21" x14ac:dyDescent="0.3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  <c r="U3265">
        <f>IF(ChurnData[[#This Row],[churn]]="yes",1,0)</f>
        <v>0</v>
      </c>
    </row>
    <row r="3266" spans="1:21" x14ac:dyDescent="0.3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  <c r="U3266">
        <f>IF(ChurnData[[#This Row],[churn]]="yes",1,0)</f>
        <v>0</v>
      </c>
    </row>
    <row r="3267" spans="1:21" x14ac:dyDescent="0.3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  <c r="U3267">
        <f>IF(ChurnData[[#This Row],[churn]]="yes",1,0)</f>
        <v>0</v>
      </c>
    </row>
    <row r="3268" spans="1:21" x14ac:dyDescent="0.3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  <c r="U3268">
        <f>IF(ChurnData[[#This Row],[churn]]="yes",1,0)</f>
        <v>0</v>
      </c>
    </row>
    <row r="3269" spans="1:21" x14ac:dyDescent="0.3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  <c r="U3269">
        <f>IF(ChurnData[[#This Row],[churn]]="yes",1,0)</f>
        <v>1</v>
      </c>
    </row>
    <row r="3270" spans="1:21" x14ac:dyDescent="0.3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  <c r="U3270">
        <f>IF(ChurnData[[#This Row],[churn]]="yes",1,0)</f>
        <v>0</v>
      </c>
    </row>
    <row r="3271" spans="1:21" x14ac:dyDescent="0.3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  <c r="U3271">
        <f>IF(ChurnData[[#This Row],[churn]]="yes",1,0)</f>
        <v>0</v>
      </c>
    </row>
    <row r="3272" spans="1:21" x14ac:dyDescent="0.3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  <c r="U3272">
        <f>IF(ChurnData[[#This Row],[churn]]="yes",1,0)</f>
        <v>0</v>
      </c>
    </row>
    <row r="3273" spans="1:21" x14ac:dyDescent="0.3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  <c r="U3273">
        <f>IF(ChurnData[[#This Row],[churn]]="yes",1,0)</f>
        <v>0</v>
      </c>
    </row>
    <row r="3274" spans="1:21" x14ac:dyDescent="0.3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  <c r="U3274">
        <f>IF(ChurnData[[#This Row],[churn]]="yes",1,0)</f>
        <v>1</v>
      </c>
    </row>
    <row r="3275" spans="1:21" x14ac:dyDescent="0.3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  <c r="U3275">
        <f>IF(ChurnData[[#This Row],[churn]]="yes",1,0)</f>
        <v>0</v>
      </c>
    </row>
    <row r="3276" spans="1:21" x14ac:dyDescent="0.3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  <c r="U3276">
        <f>IF(ChurnData[[#This Row],[churn]]="yes",1,0)</f>
        <v>0</v>
      </c>
    </row>
    <row r="3277" spans="1:21" x14ac:dyDescent="0.3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  <c r="U3277">
        <f>IF(ChurnData[[#This Row],[churn]]="yes",1,0)</f>
        <v>0</v>
      </c>
    </row>
    <row r="3278" spans="1:21" x14ac:dyDescent="0.3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  <c r="U3278">
        <f>IF(ChurnData[[#This Row],[churn]]="yes",1,0)</f>
        <v>0</v>
      </c>
    </row>
    <row r="3279" spans="1:21" x14ac:dyDescent="0.3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  <c r="U3279">
        <f>IF(ChurnData[[#This Row],[churn]]="yes",1,0)</f>
        <v>0</v>
      </c>
    </row>
    <row r="3280" spans="1:21" x14ac:dyDescent="0.3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  <c r="U3280">
        <f>IF(ChurnData[[#This Row],[churn]]="yes",1,0)</f>
        <v>0</v>
      </c>
    </row>
    <row r="3281" spans="1:21" x14ac:dyDescent="0.3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  <c r="U3281">
        <f>IF(ChurnData[[#This Row],[churn]]="yes",1,0)</f>
        <v>0</v>
      </c>
    </row>
    <row r="3282" spans="1:21" x14ac:dyDescent="0.3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  <c r="U3282">
        <f>IF(ChurnData[[#This Row],[churn]]="yes",1,0)</f>
        <v>0</v>
      </c>
    </row>
    <row r="3283" spans="1:21" x14ac:dyDescent="0.3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  <c r="U3283">
        <f>IF(ChurnData[[#This Row],[churn]]="yes",1,0)</f>
        <v>0</v>
      </c>
    </row>
    <row r="3284" spans="1:21" x14ac:dyDescent="0.3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  <c r="U3284">
        <f>IF(ChurnData[[#This Row],[churn]]="yes",1,0)</f>
        <v>0</v>
      </c>
    </row>
    <row r="3285" spans="1:21" x14ac:dyDescent="0.3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  <c r="U3285">
        <f>IF(ChurnData[[#This Row],[churn]]="yes",1,0)</f>
        <v>0</v>
      </c>
    </row>
    <row r="3286" spans="1:21" x14ac:dyDescent="0.3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  <c r="U3286">
        <f>IF(ChurnData[[#This Row],[churn]]="yes",1,0)</f>
        <v>0</v>
      </c>
    </row>
    <row r="3287" spans="1:21" x14ac:dyDescent="0.3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  <c r="U3287">
        <f>IF(ChurnData[[#This Row],[churn]]="yes",1,0)</f>
        <v>0</v>
      </c>
    </row>
    <row r="3288" spans="1:21" x14ac:dyDescent="0.3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  <c r="U3288">
        <f>IF(ChurnData[[#This Row],[churn]]="yes",1,0)</f>
        <v>0</v>
      </c>
    </row>
    <row r="3289" spans="1:21" x14ac:dyDescent="0.3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  <c r="U3289">
        <f>IF(ChurnData[[#This Row],[churn]]="yes",1,0)</f>
        <v>0</v>
      </c>
    </row>
    <row r="3290" spans="1:21" x14ac:dyDescent="0.3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  <c r="U3290">
        <f>IF(ChurnData[[#This Row],[churn]]="yes",1,0)</f>
        <v>0</v>
      </c>
    </row>
    <row r="3291" spans="1:21" x14ac:dyDescent="0.3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  <c r="U3291">
        <f>IF(ChurnData[[#This Row],[churn]]="yes",1,0)</f>
        <v>0</v>
      </c>
    </row>
    <row r="3292" spans="1:21" x14ac:dyDescent="0.3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  <c r="U3292">
        <f>IF(ChurnData[[#This Row],[churn]]="yes",1,0)</f>
        <v>0</v>
      </c>
    </row>
    <row r="3293" spans="1:21" x14ac:dyDescent="0.3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  <c r="U3293">
        <f>IF(ChurnData[[#This Row],[churn]]="yes",1,0)</f>
        <v>0</v>
      </c>
    </row>
    <row r="3294" spans="1:21" x14ac:dyDescent="0.3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  <c r="U3294">
        <f>IF(ChurnData[[#This Row],[churn]]="yes",1,0)</f>
        <v>0</v>
      </c>
    </row>
    <row r="3295" spans="1:21" x14ac:dyDescent="0.3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  <c r="U3295">
        <f>IF(ChurnData[[#This Row],[churn]]="yes",1,0)</f>
        <v>0</v>
      </c>
    </row>
    <row r="3296" spans="1:21" x14ac:dyDescent="0.3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  <c r="U3296">
        <f>IF(ChurnData[[#This Row],[churn]]="yes",1,0)</f>
        <v>0</v>
      </c>
    </row>
    <row r="3297" spans="1:21" x14ac:dyDescent="0.3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  <c r="U3297">
        <f>IF(ChurnData[[#This Row],[churn]]="yes",1,0)</f>
        <v>0</v>
      </c>
    </row>
    <row r="3298" spans="1:21" x14ac:dyDescent="0.3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  <c r="U3298">
        <f>IF(ChurnData[[#This Row],[churn]]="yes",1,0)</f>
        <v>0</v>
      </c>
    </row>
    <row r="3299" spans="1:21" x14ac:dyDescent="0.3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  <c r="U3299">
        <f>IF(ChurnData[[#This Row],[churn]]="yes",1,0)</f>
        <v>1</v>
      </c>
    </row>
    <row r="3300" spans="1:21" x14ac:dyDescent="0.3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  <c r="U3300">
        <f>IF(ChurnData[[#This Row],[churn]]="yes",1,0)</f>
        <v>0</v>
      </c>
    </row>
    <row r="3301" spans="1:21" x14ac:dyDescent="0.3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  <c r="U3301">
        <f>IF(ChurnData[[#This Row],[churn]]="yes",1,0)</f>
        <v>0</v>
      </c>
    </row>
    <row r="3302" spans="1:21" x14ac:dyDescent="0.3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  <c r="U3302">
        <f>IF(ChurnData[[#This Row],[churn]]="yes",1,0)</f>
        <v>0</v>
      </c>
    </row>
    <row r="3303" spans="1:21" x14ac:dyDescent="0.3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  <c r="U3303">
        <f>IF(ChurnData[[#This Row],[churn]]="yes",1,0)</f>
        <v>0</v>
      </c>
    </row>
    <row r="3304" spans="1:21" x14ac:dyDescent="0.3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  <c r="U3304">
        <f>IF(ChurnData[[#This Row],[churn]]="yes",1,0)</f>
        <v>0</v>
      </c>
    </row>
    <row r="3305" spans="1:21" x14ac:dyDescent="0.3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  <c r="U3305">
        <f>IF(ChurnData[[#This Row],[churn]]="yes",1,0)</f>
        <v>0</v>
      </c>
    </row>
    <row r="3306" spans="1:21" x14ac:dyDescent="0.3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  <c r="U3306">
        <f>IF(ChurnData[[#This Row],[churn]]="yes",1,0)</f>
        <v>1</v>
      </c>
    </row>
    <row r="3307" spans="1:21" x14ac:dyDescent="0.3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  <c r="U3307">
        <f>IF(ChurnData[[#This Row],[churn]]="yes",1,0)</f>
        <v>0</v>
      </c>
    </row>
    <row r="3308" spans="1:21" x14ac:dyDescent="0.3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  <c r="U3308">
        <f>IF(ChurnData[[#This Row],[churn]]="yes",1,0)</f>
        <v>0</v>
      </c>
    </row>
    <row r="3309" spans="1:21" x14ac:dyDescent="0.3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  <c r="U3309">
        <f>IF(ChurnData[[#This Row],[churn]]="yes",1,0)</f>
        <v>0</v>
      </c>
    </row>
    <row r="3310" spans="1:21" x14ac:dyDescent="0.3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  <c r="U3310">
        <f>IF(ChurnData[[#This Row],[churn]]="yes",1,0)</f>
        <v>0</v>
      </c>
    </row>
    <row r="3311" spans="1:21" x14ac:dyDescent="0.3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  <c r="U3311">
        <f>IF(ChurnData[[#This Row],[churn]]="yes",1,0)</f>
        <v>0</v>
      </c>
    </row>
    <row r="3312" spans="1:21" x14ac:dyDescent="0.3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  <c r="U3312">
        <f>IF(ChurnData[[#This Row],[churn]]="yes",1,0)</f>
        <v>0</v>
      </c>
    </row>
    <row r="3313" spans="1:21" x14ac:dyDescent="0.3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  <c r="U3313">
        <f>IF(ChurnData[[#This Row],[churn]]="yes",1,0)</f>
        <v>1</v>
      </c>
    </row>
    <row r="3314" spans="1:21" x14ac:dyDescent="0.3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  <c r="U3314">
        <f>IF(ChurnData[[#This Row],[churn]]="yes",1,0)</f>
        <v>0</v>
      </c>
    </row>
    <row r="3315" spans="1:21" x14ac:dyDescent="0.3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  <c r="U3315">
        <f>IF(ChurnData[[#This Row],[churn]]="yes",1,0)</f>
        <v>0</v>
      </c>
    </row>
    <row r="3316" spans="1:21" x14ac:dyDescent="0.3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  <c r="U3316">
        <f>IF(ChurnData[[#This Row],[churn]]="yes",1,0)</f>
        <v>0</v>
      </c>
    </row>
    <row r="3317" spans="1:21" x14ac:dyDescent="0.3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  <c r="U3317">
        <f>IF(ChurnData[[#This Row],[churn]]="yes",1,0)</f>
        <v>0</v>
      </c>
    </row>
    <row r="3318" spans="1:21" x14ac:dyDescent="0.3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  <c r="U3318">
        <f>IF(ChurnData[[#This Row],[churn]]="yes",1,0)</f>
        <v>0</v>
      </c>
    </row>
    <row r="3319" spans="1:21" x14ac:dyDescent="0.3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  <c r="U3319">
        <f>IF(ChurnData[[#This Row],[churn]]="yes",1,0)</f>
        <v>0</v>
      </c>
    </row>
    <row r="3320" spans="1:21" x14ac:dyDescent="0.3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  <c r="U3320">
        <f>IF(ChurnData[[#This Row],[churn]]="yes",1,0)</f>
        <v>0</v>
      </c>
    </row>
    <row r="3321" spans="1:21" x14ac:dyDescent="0.3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  <c r="U3321">
        <f>IF(ChurnData[[#This Row],[churn]]="yes",1,0)</f>
        <v>0</v>
      </c>
    </row>
    <row r="3322" spans="1:21" x14ac:dyDescent="0.3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  <c r="U3322">
        <f>IF(ChurnData[[#This Row],[churn]]="yes",1,0)</f>
        <v>0</v>
      </c>
    </row>
    <row r="3323" spans="1:21" x14ac:dyDescent="0.3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  <c r="U3323">
        <f>IF(ChurnData[[#This Row],[churn]]="yes",1,0)</f>
        <v>0</v>
      </c>
    </row>
    <row r="3324" spans="1:21" x14ac:dyDescent="0.3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  <c r="U3324">
        <f>IF(ChurnData[[#This Row],[churn]]="yes",1,0)</f>
        <v>0</v>
      </c>
    </row>
    <row r="3325" spans="1:21" x14ac:dyDescent="0.3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  <c r="U3325">
        <f>IF(ChurnData[[#This Row],[churn]]="yes",1,0)</f>
        <v>0</v>
      </c>
    </row>
    <row r="3326" spans="1:21" x14ac:dyDescent="0.3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  <c r="U3326">
        <f>IF(ChurnData[[#This Row],[churn]]="yes",1,0)</f>
        <v>0</v>
      </c>
    </row>
    <row r="3327" spans="1:21" x14ac:dyDescent="0.3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  <c r="U3327">
        <f>IF(ChurnData[[#This Row],[churn]]="yes",1,0)</f>
        <v>1</v>
      </c>
    </row>
    <row r="3328" spans="1:21" x14ac:dyDescent="0.3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  <c r="U3328">
        <f>IF(ChurnData[[#This Row],[churn]]="yes",1,0)</f>
        <v>1</v>
      </c>
    </row>
    <row r="3329" spans="1:21" x14ac:dyDescent="0.3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  <c r="U3329">
        <f>IF(ChurnData[[#This Row],[churn]]="yes",1,0)</f>
        <v>0</v>
      </c>
    </row>
    <row r="3330" spans="1:21" x14ac:dyDescent="0.3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  <c r="U3330">
        <f>IF(ChurnData[[#This Row],[churn]]="yes",1,0)</f>
        <v>0</v>
      </c>
    </row>
    <row r="3331" spans="1:21" x14ac:dyDescent="0.3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  <c r="U3331">
        <f>IF(ChurnData[[#This Row],[churn]]="yes",1,0)</f>
        <v>0</v>
      </c>
    </row>
    <row r="3332" spans="1:21" x14ac:dyDescent="0.3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  <c r="U3332">
        <f>IF(ChurnData[[#This Row],[churn]]="yes",1,0)</f>
        <v>0</v>
      </c>
    </row>
    <row r="3333" spans="1:21" x14ac:dyDescent="0.3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  <c r="U3333">
        <f>IF(ChurnData[[#This Row],[churn]]="yes",1,0)</f>
        <v>0</v>
      </c>
    </row>
    <row r="3334" spans="1:21" x14ac:dyDescent="0.3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  <c r="U3334">
        <f>IF(ChurnData[[#This Row],[churn]]="yes",1,0)</f>
        <v>0</v>
      </c>
    </row>
    <row r="3335" spans="1:21" x14ac:dyDescent="0.3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  <c r="U3335">
        <f>IF(ChurnData[[#This Row],[churn]]="yes",1,0)</f>
        <v>0</v>
      </c>
    </row>
    <row r="3336" spans="1:21" x14ac:dyDescent="0.3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  <c r="U3336">
        <f>IF(ChurnData[[#This Row],[churn]]="yes",1,0)</f>
        <v>0</v>
      </c>
    </row>
    <row r="3337" spans="1:21" x14ac:dyDescent="0.3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  <c r="U3337">
        <f>IF(ChurnData[[#This Row],[churn]]="yes",1,0)</f>
        <v>0</v>
      </c>
    </row>
    <row r="3338" spans="1:21" x14ac:dyDescent="0.3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  <c r="U3338">
        <f>IF(ChurnData[[#This Row],[churn]]="yes",1,0)</f>
        <v>0</v>
      </c>
    </row>
    <row r="3339" spans="1:21" x14ac:dyDescent="0.3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  <c r="U3339">
        <f>IF(ChurnData[[#This Row],[churn]]="yes",1,0)</f>
        <v>0</v>
      </c>
    </row>
    <row r="3340" spans="1:21" x14ac:dyDescent="0.3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  <c r="U3340">
        <f>IF(ChurnData[[#This Row],[churn]]="yes",1,0)</f>
        <v>0</v>
      </c>
    </row>
    <row r="3341" spans="1:21" x14ac:dyDescent="0.3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  <c r="U3341">
        <f>IF(ChurnData[[#This Row],[churn]]="yes",1,0)</f>
        <v>0</v>
      </c>
    </row>
    <row r="3342" spans="1:21" x14ac:dyDescent="0.3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  <c r="U3342">
        <f>IF(ChurnData[[#This Row],[churn]]="yes",1,0)</f>
        <v>0</v>
      </c>
    </row>
    <row r="3343" spans="1:21" x14ac:dyDescent="0.3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  <c r="U3343">
        <f>IF(ChurnData[[#This Row],[churn]]="yes",1,0)</f>
        <v>0</v>
      </c>
    </row>
    <row r="3344" spans="1:21" x14ac:dyDescent="0.3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  <c r="U3344">
        <f>IF(ChurnData[[#This Row],[churn]]="yes",1,0)</f>
        <v>0</v>
      </c>
    </row>
    <row r="3345" spans="1:21" x14ac:dyDescent="0.3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  <c r="U3345">
        <f>IF(ChurnData[[#This Row],[churn]]="yes",1,0)</f>
        <v>0</v>
      </c>
    </row>
    <row r="3346" spans="1:21" x14ac:dyDescent="0.3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  <c r="U3346">
        <f>IF(ChurnData[[#This Row],[churn]]="yes",1,0)</f>
        <v>1</v>
      </c>
    </row>
    <row r="3347" spans="1:21" x14ac:dyDescent="0.3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  <c r="U3347">
        <f>IF(ChurnData[[#This Row],[churn]]="yes",1,0)</f>
        <v>0</v>
      </c>
    </row>
    <row r="3348" spans="1:21" x14ac:dyDescent="0.3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  <c r="U3348">
        <f>IF(ChurnData[[#This Row],[churn]]="yes",1,0)</f>
        <v>0</v>
      </c>
    </row>
    <row r="3349" spans="1:21" x14ac:dyDescent="0.3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  <c r="U3349">
        <f>IF(ChurnData[[#This Row],[churn]]="yes",1,0)</f>
        <v>0</v>
      </c>
    </row>
    <row r="3350" spans="1:21" x14ac:dyDescent="0.3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  <c r="U3350">
        <f>IF(ChurnData[[#This Row],[churn]]="yes",1,0)</f>
        <v>0</v>
      </c>
    </row>
    <row r="3351" spans="1:21" x14ac:dyDescent="0.3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  <c r="U3351">
        <f>IF(ChurnData[[#This Row],[churn]]="yes",1,0)</f>
        <v>0</v>
      </c>
    </row>
    <row r="3352" spans="1:21" x14ac:dyDescent="0.3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  <c r="U3352">
        <f>IF(ChurnData[[#This Row],[churn]]="yes",1,0)</f>
        <v>0</v>
      </c>
    </row>
    <row r="3353" spans="1:21" x14ac:dyDescent="0.3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  <c r="U3353">
        <f>IF(ChurnData[[#This Row],[churn]]="yes",1,0)</f>
        <v>1</v>
      </c>
    </row>
    <row r="3354" spans="1:21" x14ac:dyDescent="0.3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  <c r="U3354">
        <f>IF(ChurnData[[#This Row],[churn]]="yes",1,0)</f>
        <v>0</v>
      </c>
    </row>
    <row r="3355" spans="1:21" x14ac:dyDescent="0.3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  <c r="U3355">
        <f>IF(ChurnData[[#This Row],[churn]]="yes",1,0)</f>
        <v>0</v>
      </c>
    </row>
    <row r="3356" spans="1:21" x14ac:dyDescent="0.3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  <c r="U3356">
        <f>IF(ChurnData[[#This Row],[churn]]="yes",1,0)</f>
        <v>0</v>
      </c>
    </row>
    <row r="3357" spans="1:21" x14ac:dyDescent="0.3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  <c r="U3357">
        <f>IF(ChurnData[[#This Row],[churn]]="yes",1,0)</f>
        <v>1</v>
      </c>
    </row>
    <row r="3358" spans="1:21" x14ac:dyDescent="0.3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  <c r="U3358">
        <f>IF(ChurnData[[#This Row],[churn]]="yes",1,0)</f>
        <v>0</v>
      </c>
    </row>
    <row r="3359" spans="1:21" x14ac:dyDescent="0.3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  <c r="U3359">
        <f>IF(ChurnData[[#This Row],[churn]]="yes",1,0)</f>
        <v>0</v>
      </c>
    </row>
    <row r="3360" spans="1:21" x14ac:dyDescent="0.3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  <c r="U3360">
        <f>IF(ChurnData[[#This Row],[churn]]="yes",1,0)</f>
        <v>0</v>
      </c>
    </row>
    <row r="3361" spans="1:21" x14ac:dyDescent="0.3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  <c r="U3361">
        <f>IF(ChurnData[[#This Row],[churn]]="yes",1,0)</f>
        <v>0</v>
      </c>
    </row>
    <row r="3362" spans="1:21" x14ac:dyDescent="0.3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  <c r="U3362">
        <f>IF(ChurnData[[#This Row],[churn]]="yes",1,0)</f>
        <v>0</v>
      </c>
    </row>
    <row r="3363" spans="1:21" x14ac:dyDescent="0.3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  <c r="U3363">
        <f>IF(ChurnData[[#This Row],[churn]]="yes",1,0)</f>
        <v>0</v>
      </c>
    </row>
    <row r="3364" spans="1:21" x14ac:dyDescent="0.3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  <c r="U3364">
        <f>IF(ChurnData[[#This Row],[churn]]="yes",1,0)</f>
        <v>1</v>
      </c>
    </row>
    <row r="3365" spans="1:21" x14ac:dyDescent="0.3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  <c r="U3365">
        <f>IF(ChurnData[[#This Row],[churn]]="yes",1,0)</f>
        <v>0</v>
      </c>
    </row>
    <row r="3366" spans="1:21" x14ac:dyDescent="0.3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  <c r="U3366">
        <f>IF(ChurnData[[#This Row],[churn]]="yes",1,0)</f>
        <v>0</v>
      </c>
    </row>
    <row r="3367" spans="1:21" x14ac:dyDescent="0.3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  <c r="U3367">
        <f>IF(ChurnData[[#This Row],[churn]]="yes",1,0)</f>
        <v>0</v>
      </c>
    </row>
    <row r="3368" spans="1:21" x14ac:dyDescent="0.3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  <c r="U3368">
        <f>IF(ChurnData[[#This Row],[churn]]="yes",1,0)</f>
        <v>0</v>
      </c>
    </row>
    <row r="3369" spans="1:21" x14ac:dyDescent="0.3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  <c r="U3369">
        <f>IF(ChurnData[[#This Row],[churn]]="yes",1,0)</f>
        <v>0</v>
      </c>
    </row>
    <row r="3370" spans="1:21" x14ac:dyDescent="0.3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  <c r="U3370">
        <f>IF(ChurnData[[#This Row],[churn]]="yes",1,0)</f>
        <v>0</v>
      </c>
    </row>
    <row r="3371" spans="1:21" x14ac:dyDescent="0.3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  <c r="U3371">
        <f>IF(ChurnData[[#This Row],[churn]]="yes",1,0)</f>
        <v>0</v>
      </c>
    </row>
    <row r="3372" spans="1:21" x14ac:dyDescent="0.3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  <c r="U3372">
        <f>IF(ChurnData[[#This Row],[churn]]="yes",1,0)</f>
        <v>0</v>
      </c>
    </row>
    <row r="3373" spans="1:21" x14ac:dyDescent="0.3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  <c r="U3373">
        <f>IF(ChurnData[[#This Row],[churn]]="yes",1,0)</f>
        <v>1</v>
      </c>
    </row>
    <row r="3374" spans="1:21" x14ac:dyDescent="0.3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  <c r="U3374">
        <f>IF(ChurnData[[#This Row],[churn]]="yes",1,0)</f>
        <v>0</v>
      </c>
    </row>
    <row r="3375" spans="1:21" x14ac:dyDescent="0.3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  <c r="U3375">
        <f>IF(ChurnData[[#This Row],[churn]]="yes",1,0)</f>
        <v>0</v>
      </c>
    </row>
    <row r="3376" spans="1:21" x14ac:dyDescent="0.3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  <c r="U3376">
        <f>IF(ChurnData[[#This Row],[churn]]="yes",1,0)</f>
        <v>1</v>
      </c>
    </row>
    <row r="3377" spans="1:21" x14ac:dyDescent="0.3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  <c r="U3377">
        <f>IF(ChurnData[[#This Row],[churn]]="yes",1,0)</f>
        <v>1</v>
      </c>
    </row>
    <row r="3378" spans="1:21" x14ac:dyDescent="0.3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  <c r="U3378">
        <f>IF(ChurnData[[#This Row],[churn]]="yes",1,0)</f>
        <v>0</v>
      </c>
    </row>
    <row r="3379" spans="1:21" x14ac:dyDescent="0.3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  <c r="U3379">
        <f>IF(ChurnData[[#This Row],[churn]]="yes",1,0)</f>
        <v>0</v>
      </c>
    </row>
    <row r="3380" spans="1:21" x14ac:dyDescent="0.3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  <c r="U3380">
        <f>IF(ChurnData[[#This Row],[churn]]="yes",1,0)</f>
        <v>0</v>
      </c>
    </row>
    <row r="3381" spans="1:21" x14ac:dyDescent="0.3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  <c r="U3381">
        <f>IF(ChurnData[[#This Row],[churn]]="yes",1,0)</f>
        <v>1</v>
      </c>
    </row>
    <row r="3382" spans="1:21" x14ac:dyDescent="0.3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  <c r="U3382">
        <f>IF(ChurnData[[#This Row],[churn]]="yes",1,0)</f>
        <v>0</v>
      </c>
    </row>
    <row r="3383" spans="1:21" x14ac:dyDescent="0.3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  <c r="U3383">
        <f>IF(ChurnData[[#This Row],[churn]]="yes",1,0)</f>
        <v>1</v>
      </c>
    </row>
    <row r="3384" spans="1:21" x14ac:dyDescent="0.3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  <c r="U3384">
        <f>IF(ChurnData[[#This Row],[churn]]="yes",1,0)</f>
        <v>0</v>
      </c>
    </row>
    <row r="3385" spans="1:21" x14ac:dyDescent="0.3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  <c r="U3385">
        <f>IF(ChurnData[[#This Row],[churn]]="yes",1,0)</f>
        <v>0</v>
      </c>
    </row>
    <row r="3386" spans="1:21" x14ac:dyDescent="0.3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  <c r="U3386">
        <f>IF(ChurnData[[#This Row],[churn]]="yes",1,0)</f>
        <v>0</v>
      </c>
    </row>
    <row r="3387" spans="1:21" x14ac:dyDescent="0.3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  <c r="U3387">
        <f>IF(ChurnData[[#This Row],[churn]]="yes",1,0)</f>
        <v>0</v>
      </c>
    </row>
    <row r="3388" spans="1:21" x14ac:dyDescent="0.3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  <c r="U3388">
        <f>IF(ChurnData[[#This Row],[churn]]="yes",1,0)</f>
        <v>0</v>
      </c>
    </row>
    <row r="3389" spans="1:21" x14ac:dyDescent="0.3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  <c r="U3389">
        <f>IF(ChurnData[[#This Row],[churn]]="yes",1,0)</f>
        <v>0</v>
      </c>
    </row>
    <row r="3390" spans="1:21" x14ac:dyDescent="0.3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  <c r="U3390">
        <f>IF(ChurnData[[#This Row],[churn]]="yes",1,0)</f>
        <v>0</v>
      </c>
    </row>
    <row r="3391" spans="1:21" x14ac:dyDescent="0.3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  <c r="U3391">
        <f>IF(ChurnData[[#This Row],[churn]]="yes",1,0)</f>
        <v>0</v>
      </c>
    </row>
    <row r="3392" spans="1:21" x14ac:dyDescent="0.3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  <c r="U3392">
        <f>IF(ChurnData[[#This Row],[churn]]="yes",1,0)</f>
        <v>1</v>
      </c>
    </row>
    <row r="3393" spans="1:21" x14ac:dyDescent="0.3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  <c r="U3393">
        <f>IF(ChurnData[[#This Row],[churn]]="yes",1,0)</f>
        <v>0</v>
      </c>
    </row>
    <row r="3394" spans="1:21" x14ac:dyDescent="0.3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  <c r="U3394">
        <f>IF(ChurnData[[#This Row],[churn]]="yes",1,0)</f>
        <v>0</v>
      </c>
    </row>
    <row r="3395" spans="1:21" x14ac:dyDescent="0.3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  <c r="U3395">
        <f>IF(ChurnData[[#This Row],[churn]]="yes",1,0)</f>
        <v>0</v>
      </c>
    </row>
    <row r="3396" spans="1:21" x14ac:dyDescent="0.3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  <c r="U3396">
        <f>IF(ChurnData[[#This Row],[churn]]="yes",1,0)</f>
        <v>0</v>
      </c>
    </row>
    <row r="3397" spans="1:21" x14ac:dyDescent="0.3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  <c r="U3397">
        <f>IF(ChurnData[[#This Row],[churn]]="yes",1,0)</f>
        <v>0</v>
      </c>
    </row>
    <row r="3398" spans="1:21" x14ac:dyDescent="0.3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  <c r="U3398">
        <f>IF(ChurnData[[#This Row],[churn]]="yes",1,0)</f>
        <v>0</v>
      </c>
    </row>
    <row r="3399" spans="1:21" x14ac:dyDescent="0.3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  <c r="U3399">
        <f>IF(ChurnData[[#This Row],[churn]]="yes",1,0)</f>
        <v>0</v>
      </c>
    </row>
    <row r="3400" spans="1:21" x14ac:dyDescent="0.3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  <c r="U3400">
        <f>IF(ChurnData[[#This Row],[churn]]="yes",1,0)</f>
        <v>0</v>
      </c>
    </row>
    <row r="3401" spans="1:21" x14ac:dyDescent="0.3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  <c r="U3401">
        <f>IF(ChurnData[[#This Row],[churn]]="yes",1,0)</f>
        <v>0</v>
      </c>
    </row>
    <row r="3402" spans="1:21" x14ac:dyDescent="0.3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  <c r="U3402">
        <f>IF(ChurnData[[#This Row],[churn]]="yes",1,0)</f>
        <v>0</v>
      </c>
    </row>
    <row r="3403" spans="1:21" x14ac:dyDescent="0.3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  <c r="U3403">
        <f>IF(ChurnData[[#This Row],[churn]]="yes",1,0)</f>
        <v>0</v>
      </c>
    </row>
    <row r="3404" spans="1:21" x14ac:dyDescent="0.3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  <c r="U3404">
        <f>IF(ChurnData[[#This Row],[churn]]="yes",1,0)</f>
        <v>0</v>
      </c>
    </row>
    <row r="3405" spans="1:21" x14ac:dyDescent="0.3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  <c r="U3405">
        <f>IF(ChurnData[[#This Row],[churn]]="yes",1,0)</f>
        <v>0</v>
      </c>
    </row>
    <row r="3406" spans="1:21" x14ac:dyDescent="0.3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  <c r="U3406">
        <f>IF(ChurnData[[#This Row],[churn]]="yes",1,0)</f>
        <v>0</v>
      </c>
    </row>
    <row r="3407" spans="1:21" x14ac:dyDescent="0.3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  <c r="U3407">
        <f>IF(ChurnData[[#This Row],[churn]]="yes",1,0)</f>
        <v>1</v>
      </c>
    </row>
    <row r="3408" spans="1:21" x14ac:dyDescent="0.3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  <c r="U3408">
        <f>IF(ChurnData[[#This Row],[churn]]="yes",1,0)</f>
        <v>0</v>
      </c>
    </row>
    <row r="3409" spans="1:21" x14ac:dyDescent="0.3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  <c r="U3409">
        <f>IF(ChurnData[[#This Row],[churn]]="yes",1,0)</f>
        <v>0</v>
      </c>
    </row>
    <row r="3410" spans="1:21" x14ac:dyDescent="0.3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  <c r="U3410">
        <f>IF(ChurnData[[#This Row],[churn]]="yes",1,0)</f>
        <v>1</v>
      </c>
    </row>
    <row r="3411" spans="1:21" x14ac:dyDescent="0.3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  <c r="U3411">
        <f>IF(ChurnData[[#This Row],[churn]]="yes",1,0)</f>
        <v>0</v>
      </c>
    </row>
    <row r="3412" spans="1:21" x14ac:dyDescent="0.3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  <c r="U3412">
        <f>IF(ChurnData[[#This Row],[churn]]="yes",1,0)</f>
        <v>1</v>
      </c>
    </row>
    <row r="3413" spans="1:21" x14ac:dyDescent="0.3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  <c r="U3413">
        <f>IF(ChurnData[[#This Row],[churn]]="yes",1,0)</f>
        <v>0</v>
      </c>
    </row>
    <row r="3414" spans="1:21" x14ac:dyDescent="0.3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  <c r="U3414">
        <f>IF(ChurnData[[#This Row],[churn]]="yes",1,0)</f>
        <v>0</v>
      </c>
    </row>
    <row r="3415" spans="1:21" x14ac:dyDescent="0.3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  <c r="U3415">
        <f>IF(ChurnData[[#This Row],[churn]]="yes",1,0)</f>
        <v>1</v>
      </c>
    </row>
    <row r="3416" spans="1:21" x14ac:dyDescent="0.3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  <c r="U3416">
        <f>IF(ChurnData[[#This Row],[churn]]="yes",1,0)</f>
        <v>0</v>
      </c>
    </row>
    <row r="3417" spans="1:21" x14ac:dyDescent="0.3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  <c r="U3417">
        <f>IF(ChurnData[[#This Row],[churn]]="yes",1,0)</f>
        <v>0</v>
      </c>
    </row>
    <row r="3418" spans="1:21" x14ac:dyDescent="0.3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  <c r="U3418">
        <f>IF(ChurnData[[#This Row],[churn]]="yes",1,0)</f>
        <v>1</v>
      </c>
    </row>
    <row r="3419" spans="1:21" x14ac:dyDescent="0.3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  <c r="U3419">
        <f>IF(ChurnData[[#This Row],[churn]]="yes",1,0)</f>
        <v>0</v>
      </c>
    </row>
    <row r="3420" spans="1:21" x14ac:dyDescent="0.3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  <c r="U3420">
        <f>IF(ChurnData[[#This Row],[churn]]="yes",1,0)</f>
        <v>0</v>
      </c>
    </row>
    <row r="3421" spans="1:21" x14ac:dyDescent="0.3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  <c r="U3421">
        <f>IF(ChurnData[[#This Row],[churn]]="yes",1,0)</f>
        <v>0</v>
      </c>
    </row>
    <row r="3422" spans="1:21" x14ac:dyDescent="0.3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  <c r="U3422">
        <f>IF(ChurnData[[#This Row],[churn]]="yes",1,0)</f>
        <v>0</v>
      </c>
    </row>
    <row r="3423" spans="1:21" x14ac:dyDescent="0.3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  <c r="U3423">
        <f>IF(ChurnData[[#This Row],[churn]]="yes",1,0)</f>
        <v>0</v>
      </c>
    </row>
    <row r="3424" spans="1:21" x14ac:dyDescent="0.3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  <c r="U3424">
        <f>IF(ChurnData[[#This Row],[churn]]="yes",1,0)</f>
        <v>0</v>
      </c>
    </row>
    <row r="3425" spans="1:21" x14ac:dyDescent="0.3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  <c r="U3425">
        <f>IF(ChurnData[[#This Row],[churn]]="yes",1,0)</f>
        <v>0</v>
      </c>
    </row>
    <row r="3426" spans="1:21" x14ac:dyDescent="0.3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  <c r="U3426">
        <f>IF(ChurnData[[#This Row],[churn]]="yes",1,0)</f>
        <v>0</v>
      </c>
    </row>
    <row r="3427" spans="1:21" x14ac:dyDescent="0.3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  <c r="U3427">
        <f>IF(ChurnData[[#This Row],[churn]]="yes",1,0)</f>
        <v>0</v>
      </c>
    </row>
    <row r="3428" spans="1:21" x14ac:dyDescent="0.3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  <c r="U3428">
        <f>IF(ChurnData[[#This Row],[churn]]="yes",1,0)</f>
        <v>0</v>
      </c>
    </row>
    <row r="3429" spans="1:21" x14ac:dyDescent="0.3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  <c r="U3429">
        <f>IF(ChurnData[[#This Row],[churn]]="yes",1,0)</f>
        <v>1</v>
      </c>
    </row>
    <row r="3430" spans="1:21" x14ac:dyDescent="0.3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  <c r="U3430">
        <f>IF(ChurnData[[#This Row],[churn]]="yes",1,0)</f>
        <v>0</v>
      </c>
    </row>
    <row r="3431" spans="1:21" x14ac:dyDescent="0.3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  <c r="U3431">
        <f>IF(ChurnData[[#This Row],[churn]]="yes",1,0)</f>
        <v>0</v>
      </c>
    </row>
    <row r="3432" spans="1:21" x14ac:dyDescent="0.3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  <c r="U3432">
        <f>IF(ChurnData[[#This Row],[churn]]="yes",1,0)</f>
        <v>0</v>
      </c>
    </row>
    <row r="3433" spans="1:21" x14ac:dyDescent="0.3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  <c r="U3433">
        <f>IF(ChurnData[[#This Row],[churn]]="yes",1,0)</f>
        <v>0</v>
      </c>
    </row>
    <row r="3434" spans="1:21" x14ac:dyDescent="0.3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  <c r="U3434">
        <f>IF(ChurnData[[#This Row],[churn]]="yes",1,0)</f>
        <v>0</v>
      </c>
    </row>
    <row r="3435" spans="1:21" x14ac:dyDescent="0.3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  <c r="U3435">
        <f>IF(ChurnData[[#This Row],[churn]]="yes",1,0)</f>
        <v>1</v>
      </c>
    </row>
    <row r="3436" spans="1:21" x14ac:dyDescent="0.3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  <c r="U3436">
        <f>IF(ChurnData[[#This Row],[churn]]="yes",1,0)</f>
        <v>0</v>
      </c>
    </row>
    <row r="3437" spans="1:21" x14ac:dyDescent="0.3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  <c r="U3437">
        <f>IF(ChurnData[[#This Row],[churn]]="yes",1,0)</f>
        <v>0</v>
      </c>
    </row>
    <row r="3438" spans="1:21" x14ac:dyDescent="0.3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  <c r="U3438">
        <f>IF(ChurnData[[#This Row],[churn]]="yes",1,0)</f>
        <v>0</v>
      </c>
    </row>
    <row r="3439" spans="1:21" x14ac:dyDescent="0.3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  <c r="U3439">
        <f>IF(ChurnData[[#This Row],[churn]]="yes",1,0)</f>
        <v>1</v>
      </c>
    </row>
    <row r="3440" spans="1:21" x14ac:dyDescent="0.3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  <c r="U3440">
        <f>IF(ChurnData[[#This Row],[churn]]="yes",1,0)</f>
        <v>0</v>
      </c>
    </row>
    <row r="3441" spans="1:21" x14ac:dyDescent="0.3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  <c r="U3441">
        <f>IF(ChurnData[[#This Row],[churn]]="yes",1,0)</f>
        <v>0</v>
      </c>
    </row>
    <row r="3442" spans="1:21" x14ac:dyDescent="0.3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  <c r="U3442">
        <f>IF(ChurnData[[#This Row],[churn]]="yes",1,0)</f>
        <v>0</v>
      </c>
    </row>
    <row r="3443" spans="1:21" x14ac:dyDescent="0.3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  <c r="U3443">
        <f>IF(ChurnData[[#This Row],[churn]]="yes",1,0)</f>
        <v>0</v>
      </c>
    </row>
    <row r="3444" spans="1:21" x14ac:dyDescent="0.3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  <c r="U3444">
        <f>IF(ChurnData[[#This Row],[churn]]="yes",1,0)</f>
        <v>0</v>
      </c>
    </row>
    <row r="3445" spans="1:21" x14ac:dyDescent="0.3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  <c r="U3445">
        <f>IF(ChurnData[[#This Row],[churn]]="yes",1,0)</f>
        <v>0</v>
      </c>
    </row>
    <row r="3446" spans="1:21" x14ac:dyDescent="0.3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  <c r="U3446">
        <f>IF(ChurnData[[#This Row],[churn]]="yes",1,0)</f>
        <v>0</v>
      </c>
    </row>
    <row r="3447" spans="1:21" x14ac:dyDescent="0.3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  <c r="U3447">
        <f>IF(ChurnData[[#This Row],[churn]]="yes",1,0)</f>
        <v>1</v>
      </c>
    </row>
    <row r="3448" spans="1:21" x14ac:dyDescent="0.3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  <c r="U3448">
        <f>IF(ChurnData[[#This Row],[churn]]="yes",1,0)</f>
        <v>0</v>
      </c>
    </row>
    <row r="3449" spans="1:21" x14ac:dyDescent="0.3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  <c r="U3449">
        <f>IF(ChurnData[[#This Row],[churn]]="yes",1,0)</f>
        <v>0</v>
      </c>
    </row>
    <row r="3450" spans="1:21" x14ac:dyDescent="0.3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  <c r="U3450">
        <f>IF(ChurnData[[#This Row],[churn]]="yes",1,0)</f>
        <v>0</v>
      </c>
    </row>
    <row r="3451" spans="1:21" x14ac:dyDescent="0.3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  <c r="U3451">
        <f>IF(ChurnData[[#This Row],[churn]]="yes",1,0)</f>
        <v>0</v>
      </c>
    </row>
    <row r="3452" spans="1:21" x14ac:dyDescent="0.3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  <c r="U3452">
        <f>IF(ChurnData[[#This Row],[churn]]="yes",1,0)</f>
        <v>0</v>
      </c>
    </row>
    <row r="3453" spans="1:21" x14ac:dyDescent="0.3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  <c r="U3453">
        <f>IF(ChurnData[[#This Row],[churn]]="yes",1,0)</f>
        <v>0</v>
      </c>
    </row>
    <row r="3454" spans="1:21" x14ac:dyDescent="0.3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  <c r="U3454">
        <f>IF(ChurnData[[#This Row],[churn]]="yes",1,0)</f>
        <v>0</v>
      </c>
    </row>
    <row r="3455" spans="1:21" x14ac:dyDescent="0.3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  <c r="U3455">
        <f>IF(ChurnData[[#This Row],[churn]]="yes",1,0)</f>
        <v>0</v>
      </c>
    </row>
    <row r="3456" spans="1:21" x14ac:dyDescent="0.3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  <c r="U3456">
        <f>IF(ChurnData[[#This Row],[churn]]="yes",1,0)</f>
        <v>0</v>
      </c>
    </row>
    <row r="3457" spans="1:21" x14ac:dyDescent="0.3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  <c r="U3457">
        <f>IF(ChurnData[[#This Row],[churn]]="yes",1,0)</f>
        <v>0</v>
      </c>
    </row>
    <row r="3458" spans="1:21" x14ac:dyDescent="0.3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  <c r="U3458">
        <f>IF(ChurnData[[#This Row],[churn]]="yes",1,0)</f>
        <v>0</v>
      </c>
    </row>
    <row r="3459" spans="1:21" x14ac:dyDescent="0.3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  <c r="U3459">
        <f>IF(ChurnData[[#This Row],[churn]]="yes",1,0)</f>
        <v>1</v>
      </c>
    </row>
    <row r="3460" spans="1:21" x14ac:dyDescent="0.3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  <c r="U3460">
        <f>IF(ChurnData[[#This Row],[churn]]="yes",1,0)</f>
        <v>0</v>
      </c>
    </row>
    <row r="3461" spans="1:21" x14ac:dyDescent="0.3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  <c r="U3461">
        <f>IF(ChurnData[[#This Row],[churn]]="yes",1,0)</f>
        <v>0</v>
      </c>
    </row>
    <row r="3462" spans="1:21" x14ac:dyDescent="0.3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  <c r="U3462">
        <f>IF(ChurnData[[#This Row],[churn]]="yes",1,0)</f>
        <v>0</v>
      </c>
    </row>
    <row r="3463" spans="1:21" x14ac:dyDescent="0.3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  <c r="U3463">
        <f>IF(ChurnData[[#This Row],[churn]]="yes",1,0)</f>
        <v>0</v>
      </c>
    </row>
    <row r="3464" spans="1:21" x14ac:dyDescent="0.3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  <c r="U3464">
        <f>IF(ChurnData[[#This Row],[churn]]="yes",1,0)</f>
        <v>0</v>
      </c>
    </row>
    <row r="3465" spans="1:21" x14ac:dyDescent="0.3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  <c r="U3465">
        <f>IF(ChurnData[[#This Row],[churn]]="yes",1,0)</f>
        <v>1</v>
      </c>
    </row>
    <row r="3466" spans="1:21" x14ac:dyDescent="0.3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  <c r="U3466">
        <f>IF(ChurnData[[#This Row],[churn]]="yes",1,0)</f>
        <v>0</v>
      </c>
    </row>
    <row r="3467" spans="1:21" x14ac:dyDescent="0.3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  <c r="U3467">
        <f>IF(ChurnData[[#This Row],[churn]]="yes",1,0)</f>
        <v>0</v>
      </c>
    </row>
    <row r="3468" spans="1:21" x14ac:dyDescent="0.3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  <c r="U3468">
        <f>IF(ChurnData[[#This Row],[churn]]="yes",1,0)</f>
        <v>0</v>
      </c>
    </row>
    <row r="3469" spans="1:21" x14ac:dyDescent="0.3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  <c r="U3469">
        <f>IF(ChurnData[[#This Row],[churn]]="yes",1,0)</f>
        <v>0</v>
      </c>
    </row>
    <row r="3470" spans="1:21" x14ac:dyDescent="0.3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  <c r="U3470">
        <f>IF(ChurnData[[#This Row],[churn]]="yes",1,0)</f>
        <v>1</v>
      </c>
    </row>
    <row r="3471" spans="1:21" x14ac:dyDescent="0.3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  <c r="U3471">
        <f>IF(ChurnData[[#This Row],[churn]]="yes",1,0)</f>
        <v>0</v>
      </c>
    </row>
    <row r="3472" spans="1:21" x14ac:dyDescent="0.3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  <c r="U3472">
        <f>IF(ChurnData[[#This Row],[churn]]="yes",1,0)</f>
        <v>0</v>
      </c>
    </row>
    <row r="3473" spans="1:21" x14ac:dyDescent="0.3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  <c r="U3473">
        <f>IF(ChurnData[[#This Row],[churn]]="yes",1,0)</f>
        <v>0</v>
      </c>
    </row>
    <row r="3474" spans="1:21" x14ac:dyDescent="0.3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  <c r="U3474">
        <f>IF(ChurnData[[#This Row],[churn]]="yes",1,0)</f>
        <v>0</v>
      </c>
    </row>
    <row r="3475" spans="1:21" x14ac:dyDescent="0.3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  <c r="U3475">
        <f>IF(ChurnData[[#This Row],[churn]]="yes",1,0)</f>
        <v>0</v>
      </c>
    </row>
    <row r="3476" spans="1:21" x14ac:dyDescent="0.3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  <c r="U3476">
        <f>IF(ChurnData[[#This Row],[churn]]="yes",1,0)</f>
        <v>0</v>
      </c>
    </row>
    <row r="3477" spans="1:21" x14ac:dyDescent="0.3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  <c r="U3477">
        <f>IF(ChurnData[[#This Row],[churn]]="yes",1,0)</f>
        <v>0</v>
      </c>
    </row>
    <row r="3478" spans="1:21" x14ac:dyDescent="0.3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  <c r="U3478">
        <f>IF(ChurnData[[#This Row],[churn]]="yes",1,0)</f>
        <v>0</v>
      </c>
    </row>
    <row r="3479" spans="1:21" x14ac:dyDescent="0.3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  <c r="U3479">
        <f>IF(ChurnData[[#This Row],[churn]]="yes",1,0)</f>
        <v>0</v>
      </c>
    </row>
    <row r="3480" spans="1:21" x14ac:dyDescent="0.3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  <c r="U3480">
        <f>IF(ChurnData[[#This Row],[churn]]="yes",1,0)</f>
        <v>0</v>
      </c>
    </row>
    <row r="3481" spans="1:21" x14ac:dyDescent="0.3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  <c r="U3481">
        <f>IF(ChurnData[[#This Row],[churn]]="yes",1,0)</f>
        <v>0</v>
      </c>
    </row>
    <row r="3482" spans="1:21" x14ac:dyDescent="0.3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  <c r="U3482">
        <f>IF(ChurnData[[#This Row],[churn]]="yes",1,0)</f>
        <v>0</v>
      </c>
    </row>
    <row r="3483" spans="1:21" x14ac:dyDescent="0.3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  <c r="U3483">
        <f>IF(ChurnData[[#This Row],[churn]]="yes",1,0)</f>
        <v>0</v>
      </c>
    </row>
    <row r="3484" spans="1:21" x14ac:dyDescent="0.3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  <c r="U3484">
        <f>IF(ChurnData[[#This Row],[churn]]="yes",1,0)</f>
        <v>0</v>
      </c>
    </row>
    <row r="3485" spans="1:21" x14ac:dyDescent="0.3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  <c r="U3485">
        <f>IF(ChurnData[[#This Row],[churn]]="yes",1,0)</f>
        <v>0</v>
      </c>
    </row>
    <row r="3486" spans="1:21" x14ac:dyDescent="0.3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  <c r="U3486">
        <f>IF(ChurnData[[#This Row],[churn]]="yes",1,0)</f>
        <v>0</v>
      </c>
    </row>
    <row r="3487" spans="1:21" x14ac:dyDescent="0.3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  <c r="U3487">
        <f>IF(ChurnData[[#This Row],[churn]]="yes",1,0)</f>
        <v>1</v>
      </c>
    </row>
    <row r="3488" spans="1:21" x14ac:dyDescent="0.3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  <c r="U3488">
        <f>IF(ChurnData[[#This Row],[churn]]="yes",1,0)</f>
        <v>0</v>
      </c>
    </row>
    <row r="3489" spans="1:21" x14ac:dyDescent="0.3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  <c r="U3489">
        <f>IF(ChurnData[[#This Row],[churn]]="yes",1,0)</f>
        <v>0</v>
      </c>
    </row>
    <row r="3490" spans="1:21" x14ac:dyDescent="0.3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  <c r="U3490">
        <f>IF(ChurnData[[#This Row],[churn]]="yes",1,0)</f>
        <v>0</v>
      </c>
    </row>
    <row r="3491" spans="1:21" x14ac:dyDescent="0.3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  <c r="U3491">
        <f>IF(ChurnData[[#This Row],[churn]]="yes",1,0)</f>
        <v>0</v>
      </c>
    </row>
    <row r="3492" spans="1:21" x14ac:dyDescent="0.3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  <c r="U3492">
        <f>IF(ChurnData[[#This Row],[churn]]="yes",1,0)</f>
        <v>0</v>
      </c>
    </row>
    <row r="3493" spans="1:21" x14ac:dyDescent="0.3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  <c r="U3493">
        <f>IF(ChurnData[[#This Row],[churn]]="yes",1,0)</f>
        <v>0</v>
      </c>
    </row>
    <row r="3494" spans="1:21" x14ac:dyDescent="0.3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  <c r="U3494">
        <f>IF(ChurnData[[#This Row],[churn]]="yes",1,0)</f>
        <v>0</v>
      </c>
    </row>
    <row r="3495" spans="1:21" x14ac:dyDescent="0.3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  <c r="U3495">
        <f>IF(ChurnData[[#This Row],[churn]]="yes",1,0)</f>
        <v>1</v>
      </c>
    </row>
    <row r="3496" spans="1:21" x14ac:dyDescent="0.3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  <c r="U3496">
        <f>IF(ChurnData[[#This Row],[churn]]="yes",1,0)</f>
        <v>1</v>
      </c>
    </row>
    <row r="3497" spans="1:21" x14ac:dyDescent="0.3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  <c r="U3497">
        <f>IF(ChurnData[[#This Row],[churn]]="yes",1,0)</f>
        <v>0</v>
      </c>
    </row>
    <row r="3498" spans="1:21" x14ac:dyDescent="0.3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  <c r="U3498">
        <f>IF(ChurnData[[#This Row],[churn]]="yes",1,0)</f>
        <v>0</v>
      </c>
    </row>
    <row r="3499" spans="1:21" x14ac:dyDescent="0.3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  <c r="U3499">
        <f>IF(ChurnData[[#This Row],[churn]]="yes",1,0)</f>
        <v>0</v>
      </c>
    </row>
    <row r="3500" spans="1:21" x14ac:dyDescent="0.3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  <c r="U3500">
        <f>IF(ChurnData[[#This Row],[churn]]="yes",1,0)</f>
        <v>0</v>
      </c>
    </row>
    <row r="3501" spans="1:21" x14ac:dyDescent="0.3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  <c r="U3501">
        <f>IF(ChurnData[[#This Row],[churn]]="yes",1,0)</f>
        <v>0</v>
      </c>
    </row>
    <row r="3502" spans="1:21" x14ac:dyDescent="0.3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  <c r="U3502">
        <f>IF(ChurnData[[#This Row],[churn]]="yes",1,0)</f>
        <v>0</v>
      </c>
    </row>
    <row r="3503" spans="1:21" x14ac:dyDescent="0.3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  <c r="U3503">
        <f>IF(ChurnData[[#This Row],[churn]]="yes",1,0)</f>
        <v>0</v>
      </c>
    </row>
    <row r="3504" spans="1:21" x14ac:dyDescent="0.3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  <c r="U3504">
        <f>IF(ChurnData[[#This Row],[churn]]="yes",1,0)</f>
        <v>1</v>
      </c>
    </row>
    <row r="3505" spans="1:21" x14ac:dyDescent="0.3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  <c r="U3505">
        <f>IF(ChurnData[[#This Row],[churn]]="yes",1,0)</f>
        <v>1</v>
      </c>
    </row>
    <row r="3506" spans="1:21" x14ac:dyDescent="0.3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  <c r="U3506">
        <f>IF(ChurnData[[#This Row],[churn]]="yes",1,0)</f>
        <v>0</v>
      </c>
    </row>
    <row r="3507" spans="1:21" x14ac:dyDescent="0.3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  <c r="U3507">
        <f>IF(ChurnData[[#This Row],[churn]]="yes",1,0)</f>
        <v>0</v>
      </c>
    </row>
    <row r="3508" spans="1:21" x14ac:dyDescent="0.3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  <c r="U3508">
        <f>IF(ChurnData[[#This Row],[churn]]="yes",1,0)</f>
        <v>1</v>
      </c>
    </row>
    <row r="3509" spans="1:21" x14ac:dyDescent="0.3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  <c r="U3509">
        <f>IF(ChurnData[[#This Row],[churn]]="yes",1,0)</f>
        <v>0</v>
      </c>
    </row>
    <row r="3510" spans="1:21" x14ac:dyDescent="0.3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  <c r="U3510">
        <f>IF(ChurnData[[#This Row],[churn]]="yes",1,0)</f>
        <v>1</v>
      </c>
    </row>
    <row r="3511" spans="1:21" x14ac:dyDescent="0.3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  <c r="U3511">
        <f>IF(ChurnData[[#This Row],[churn]]="yes",1,0)</f>
        <v>0</v>
      </c>
    </row>
    <row r="3512" spans="1:21" x14ac:dyDescent="0.3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  <c r="U3512">
        <f>IF(ChurnData[[#This Row],[churn]]="yes",1,0)</f>
        <v>0</v>
      </c>
    </row>
    <row r="3513" spans="1:21" x14ac:dyDescent="0.3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  <c r="U3513">
        <f>IF(ChurnData[[#This Row],[churn]]="yes",1,0)</f>
        <v>1</v>
      </c>
    </row>
    <row r="3514" spans="1:21" x14ac:dyDescent="0.3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  <c r="U3514">
        <f>IF(ChurnData[[#This Row],[churn]]="yes",1,0)</f>
        <v>1</v>
      </c>
    </row>
    <row r="3515" spans="1:21" x14ac:dyDescent="0.3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  <c r="U3515">
        <f>IF(ChurnData[[#This Row],[churn]]="yes",1,0)</f>
        <v>0</v>
      </c>
    </row>
    <row r="3516" spans="1:21" x14ac:dyDescent="0.3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  <c r="U3516">
        <f>IF(ChurnData[[#This Row],[churn]]="yes",1,0)</f>
        <v>0</v>
      </c>
    </row>
    <row r="3517" spans="1:21" x14ac:dyDescent="0.3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  <c r="U3517">
        <f>IF(ChurnData[[#This Row],[churn]]="yes",1,0)</f>
        <v>0</v>
      </c>
    </row>
    <row r="3518" spans="1:21" x14ac:dyDescent="0.3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  <c r="U3518">
        <f>IF(ChurnData[[#This Row],[churn]]="yes",1,0)</f>
        <v>0</v>
      </c>
    </row>
    <row r="3519" spans="1:21" x14ac:dyDescent="0.3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  <c r="U3519">
        <f>IF(ChurnData[[#This Row],[churn]]="yes",1,0)</f>
        <v>0</v>
      </c>
    </row>
    <row r="3520" spans="1:21" x14ac:dyDescent="0.3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  <c r="U3520">
        <f>IF(ChurnData[[#This Row],[churn]]="yes",1,0)</f>
        <v>0</v>
      </c>
    </row>
    <row r="3521" spans="1:21" x14ac:dyDescent="0.3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  <c r="U3521">
        <f>IF(ChurnData[[#This Row],[churn]]="yes",1,0)</f>
        <v>0</v>
      </c>
    </row>
    <row r="3522" spans="1:21" x14ac:dyDescent="0.3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  <c r="U3522">
        <f>IF(ChurnData[[#This Row],[churn]]="yes",1,0)</f>
        <v>0</v>
      </c>
    </row>
    <row r="3523" spans="1:21" x14ac:dyDescent="0.3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  <c r="U3523">
        <f>IF(ChurnData[[#This Row],[churn]]="yes",1,0)</f>
        <v>1</v>
      </c>
    </row>
    <row r="3524" spans="1:21" x14ac:dyDescent="0.3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  <c r="U3524">
        <f>IF(ChurnData[[#This Row],[churn]]="yes",1,0)</f>
        <v>0</v>
      </c>
    </row>
    <row r="3525" spans="1:21" x14ac:dyDescent="0.3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  <c r="U3525">
        <f>IF(ChurnData[[#This Row],[churn]]="yes",1,0)</f>
        <v>1</v>
      </c>
    </row>
    <row r="3526" spans="1:21" x14ac:dyDescent="0.3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  <c r="U3526">
        <f>IF(ChurnData[[#This Row],[churn]]="yes",1,0)</f>
        <v>1</v>
      </c>
    </row>
    <row r="3527" spans="1:21" x14ac:dyDescent="0.3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  <c r="U3527">
        <f>IF(ChurnData[[#This Row],[churn]]="yes",1,0)</f>
        <v>0</v>
      </c>
    </row>
    <row r="3528" spans="1:21" x14ac:dyDescent="0.3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  <c r="U3528">
        <f>IF(ChurnData[[#This Row],[churn]]="yes",1,0)</f>
        <v>0</v>
      </c>
    </row>
    <row r="3529" spans="1:21" x14ac:dyDescent="0.3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  <c r="U3529">
        <f>IF(ChurnData[[#This Row],[churn]]="yes",1,0)</f>
        <v>0</v>
      </c>
    </row>
    <row r="3530" spans="1:21" x14ac:dyDescent="0.3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  <c r="U3530">
        <f>IF(ChurnData[[#This Row],[churn]]="yes",1,0)</f>
        <v>0</v>
      </c>
    </row>
    <row r="3531" spans="1:21" x14ac:dyDescent="0.3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  <c r="U3531">
        <f>IF(ChurnData[[#This Row],[churn]]="yes",1,0)</f>
        <v>0</v>
      </c>
    </row>
    <row r="3532" spans="1:21" x14ac:dyDescent="0.3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  <c r="U3532">
        <f>IF(ChurnData[[#This Row],[churn]]="yes",1,0)</f>
        <v>0</v>
      </c>
    </row>
    <row r="3533" spans="1:21" x14ac:dyDescent="0.3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  <c r="U3533">
        <f>IF(ChurnData[[#This Row],[churn]]="yes",1,0)</f>
        <v>0</v>
      </c>
    </row>
    <row r="3534" spans="1:21" x14ac:dyDescent="0.3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  <c r="U3534">
        <f>IF(ChurnData[[#This Row],[churn]]="yes",1,0)</f>
        <v>0</v>
      </c>
    </row>
    <row r="3535" spans="1:21" x14ac:dyDescent="0.3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  <c r="U3535">
        <f>IF(ChurnData[[#This Row],[churn]]="yes",1,0)</f>
        <v>1</v>
      </c>
    </row>
    <row r="3536" spans="1:21" x14ac:dyDescent="0.3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  <c r="U3536">
        <f>IF(ChurnData[[#This Row],[churn]]="yes",1,0)</f>
        <v>0</v>
      </c>
    </row>
    <row r="3537" spans="1:21" x14ac:dyDescent="0.3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  <c r="U3537">
        <f>IF(ChurnData[[#This Row],[churn]]="yes",1,0)</f>
        <v>0</v>
      </c>
    </row>
    <row r="3538" spans="1:21" x14ac:dyDescent="0.3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  <c r="U3538">
        <f>IF(ChurnData[[#This Row],[churn]]="yes",1,0)</f>
        <v>0</v>
      </c>
    </row>
    <row r="3539" spans="1:21" x14ac:dyDescent="0.3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  <c r="U3539">
        <f>IF(ChurnData[[#This Row],[churn]]="yes",1,0)</f>
        <v>0</v>
      </c>
    </row>
    <row r="3540" spans="1:21" x14ac:dyDescent="0.3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  <c r="U3540">
        <f>IF(ChurnData[[#This Row],[churn]]="yes",1,0)</f>
        <v>0</v>
      </c>
    </row>
    <row r="3541" spans="1:21" x14ac:dyDescent="0.3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  <c r="U3541">
        <f>IF(ChurnData[[#This Row],[churn]]="yes",1,0)</f>
        <v>0</v>
      </c>
    </row>
    <row r="3542" spans="1:21" x14ac:dyDescent="0.3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  <c r="U3542">
        <f>IF(ChurnData[[#This Row],[churn]]="yes",1,0)</f>
        <v>0</v>
      </c>
    </row>
    <row r="3543" spans="1:21" x14ac:dyDescent="0.3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  <c r="U3543">
        <f>IF(ChurnData[[#This Row],[churn]]="yes",1,0)</f>
        <v>0</v>
      </c>
    </row>
    <row r="3544" spans="1:21" x14ac:dyDescent="0.3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  <c r="U3544">
        <f>IF(ChurnData[[#This Row],[churn]]="yes",1,0)</f>
        <v>1</v>
      </c>
    </row>
    <row r="3545" spans="1:21" x14ac:dyDescent="0.3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  <c r="U3545">
        <f>IF(ChurnData[[#This Row],[churn]]="yes",1,0)</f>
        <v>0</v>
      </c>
    </row>
    <row r="3546" spans="1:21" x14ac:dyDescent="0.3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  <c r="U3546">
        <f>IF(ChurnData[[#This Row],[churn]]="yes",1,0)</f>
        <v>0</v>
      </c>
    </row>
    <row r="3547" spans="1:21" x14ac:dyDescent="0.3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  <c r="U3547">
        <f>IF(ChurnData[[#This Row],[churn]]="yes",1,0)</f>
        <v>0</v>
      </c>
    </row>
    <row r="3548" spans="1:21" x14ac:dyDescent="0.3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  <c r="U3548">
        <f>IF(ChurnData[[#This Row],[churn]]="yes",1,0)</f>
        <v>0</v>
      </c>
    </row>
    <row r="3549" spans="1:21" x14ac:dyDescent="0.3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  <c r="U3549">
        <f>IF(ChurnData[[#This Row],[churn]]="yes",1,0)</f>
        <v>0</v>
      </c>
    </row>
    <row r="3550" spans="1:21" x14ac:dyDescent="0.3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  <c r="U3550">
        <f>IF(ChurnData[[#This Row],[churn]]="yes",1,0)</f>
        <v>0</v>
      </c>
    </row>
    <row r="3551" spans="1:21" x14ac:dyDescent="0.3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  <c r="U3551">
        <f>IF(ChurnData[[#This Row],[churn]]="yes",1,0)</f>
        <v>0</v>
      </c>
    </row>
    <row r="3552" spans="1:21" x14ac:dyDescent="0.3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  <c r="U3552">
        <f>IF(ChurnData[[#This Row],[churn]]="yes",1,0)</f>
        <v>0</v>
      </c>
    </row>
    <row r="3553" spans="1:21" x14ac:dyDescent="0.3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  <c r="U3553">
        <f>IF(ChurnData[[#This Row],[churn]]="yes",1,0)</f>
        <v>0</v>
      </c>
    </row>
    <row r="3554" spans="1:21" x14ac:dyDescent="0.3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  <c r="U3554">
        <f>IF(ChurnData[[#This Row],[churn]]="yes",1,0)</f>
        <v>0</v>
      </c>
    </row>
    <row r="3555" spans="1:21" x14ac:dyDescent="0.3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  <c r="U3555">
        <f>IF(ChurnData[[#This Row],[churn]]="yes",1,0)</f>
        <v>0</v>
      </c>
    </row>
    <row r="3556" spans="1:21" x14ac:dyDescent="0.3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  <c r="U3556">
        <f>IF(ChurnData[[#This Row],[churn]]="yes",1,0)</f>
        <v>1</v>
      </c>
    </row>
    <row r="3557" spans="1:21" x14ac:dyDescent="0.3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  <c r="U3557">
        <f>IF(ChurnData[[#This Row],[churn]]="yes",1,0)</f>
        <v>0</v>
      </c>
    </row>
    <row r="3558" spans="1:21" x14ac:dyDescent="0.3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  <c r="U3558">
        <f>IF(ChurnData[[#This Row],[churn]]="yes",1,0)</f>
        <v>0</v>
      </c>
    </row>
    <row r="3559" spans="1:21" x14ac:dyDescent="0.3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  <c r="U3559">
        <f>IF(ChurnData[[#This Row],[churn]]="yes",1,0)</f>
        <v>0</v>
      </c>
    </row>
    <row r="3560" spans="1:21" x14ac:dyDescent="0.3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  <c r="U3560">
        <f>IF(ChurnData[[#This Row],[churn]]="yes",1,0)</f>
        <v>0</v>
      </c>
    </row>
    <row r="3561" spans="1:21" x14ac:dyDescent="0.3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  <c r="U3561">
        <f>IF(ChurnData[[#This Row],[churn]]="yes",1,0)</f>
        <v>0</v>
      </c>
    </row>
    <row r="3562" spans="1:21" x14ac:dyDescent="0.3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  <c r="U3562">
        <f>IF(ChurnData[[#This Row],[churn]]="yes",1,0)</f>
        <v>0</v>
      </c>
    </row>
    <row r="3563" spans="1:21" x14ac:dyDescent="0.3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  <c r="U3563">
        <f>IF(ChurnData[[#This Row],[churn]]="yes",1,0)</f>
        <v>0</v>
      </c>
    </row>
    <row r="3564" spans="1:21" x14ac:dyDescent="0.3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  <c r="U3564">
        <f>IF(ChurnData[[#This Row],[churn]]="yes",1,0)</f>
        <v>1</v>
      </c>
    </row>
    <row r="3565" spans="1:21" x14ac:dyDescent="0.3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  <c r="U3565">
        <f>IF(ChurnData[[#This Row],[churn]]="yes",1,0)</f>
        <v>0</v>
      </c>
    </row>
    <row r="3566" spans="1:21" x14ac:dyDescent="0.3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  <c r="U3566">
        <f>IF(ChurnData[[#This Row],[churn]]="yes",1,0)</f>
        <v>0</v>
      </c>
    </row>
    <row r="3567" spans="1:21" x14ac:dyDescent="0.3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  <c r="U3567">
        <f>IF(ChurnData[[#This Row],[churn]]="yes",1,0)</f>
        <v>0</v>
      </c>
    </row>
    <row r="3568" spans="1:21" x14ac:dyDescent="0.3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  <c r="U3568">
        <f>IF(ChurnData[[#This Row],[churn]]="yes",1,0)</f>
        <v>0</v>
      </c>
    </row>
    <row r="3569" spans="1:21" x14ac:dyDescent="0.3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  <c r="U3569">
        <f>IF(ChurnData[[#This Row],[churn]]="yes",1,0)</f>
        <v>0</v>
      </c>
    </row>
    <row r="3570" spans="1:21" x14ac:dyDescent="0.3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  <c r="U3570">
        <f>IF(ChurnData[[#This Row],[churn]]="yes",1,0)</f>
        <v>0</v>
      </c>
    </row>
    <row r="3571" spans="1:21" x14ac:dyDescent="0.3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  <c r="U3571">
        <f>IF(ChurnData[[#This Row],[churn]]="yes",1,0)</f>
        <v>0</v>
      </c>
    </row>
    <row r="3572" spans="1:21" x14ac:dyDescent="0.3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  <c r="U3572">
        <f>IF(ChurnData[[#This Row],[churn]]="yes",1,0)</f>
        <v>0</v>
      </c>
    </row>
    <row r="3573" spans="1:21" x14ac:dyDescent="0.3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  <c r="U3573">
        <f>IF(ChurnData[[#This Row],[churn]]="yes",1,0)</f>
        <v>0</v>
      </c>
    </row>
    <row r="3574" spans="1:21" x14ac:dyDescent="0.3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  <c r="U3574">
        <f>IF(ChurnData[[#This Row],[churn]]="yes",1,0)</f>
        <v>0</v>
      </c>
    </row>
    <row r="3575" spans="1:21" x14ac:dyDescent="0.3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  <c r="U3575">
        <f>IF(ChurnData[[#This Row],[churn]]="yes",1,0)</f>
        <v>0</v>
      </c>
    </row>
    <row r="3576" spans="1:21" x14ac:dyDescent="0.3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  <c r="U3576">
        <f>IF(ChurnData[[#This Row],[churn]]="yes",1,0)</f>
        <v>0</v>
      </c>
    </row>
    <row r="3577" spans="1:21" x14ac:dyDescent="0.3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  <c r="U3577">
        <f>IF(ChurnData[[#This Row],[churn]]="yes",1,0)</f>
        <v>1</v>
      </c>
    </row>
    <row r="3578" spans="1:21" x14ac:dyDescent="0.3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  <c r="U3578">
        <f>IF(ChurnData[[#This Row],[churn]]="yes",1,0)</f>
        <v>0</v>
      </c>
    </row>
    <row r="3579" spans="1:21" x14ac:dyDescent="0.3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  <c r="U3579">
        <f>IF(ChurnData[[#This Row],[churn]]="yes",1,0)</f>
        <v>0</v>
      </c>
    </row>
    <row r="3580" spans="1:21" x14ac:dyDescent="0.3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  <c r="U3580">
        <f>IF(ChurnData[[#This Row],[churn]]="yes",1,0)</f>
        <v>1</v>
      </c>
    </row>
    <row r="3581" spans="1:21" x14ac:dyDescent="0.3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  <c r="U3581">
        <f>IF(ChurnData[[#This Row],[churn]]="yes",1,0)</f>
        <v>1</v>
      </c>
    </row>
    <row r="3582" spans="1:21" x14ac:dyDescent="0.3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  <c r="U3582">
        <f>IF(ChurnData[[#This Row],[churn]]="yes",1,0)</f>
        <v>0</v>
      </c>
    </row>
    <row r="3583" spans="1:21" x14ac:dyDescent="0.3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  <c r="U3583">
        <f>IF(ChurnData[[#This Row],[churn]]="yes",1,0)</f>
        <v>0</v>
      </c>
    </row>
    <row r="3584" spans="1:21" x14ac:dyDescent="0.3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  <c r="U3584">
        <f>IF(ChurnData[[#This Row],[churn]]="yes",1,0)</f>
        <v>0</v>
      </c>
    </row>
    <row r="3585" spans="1:21" x14ac:dyDescent="0.3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  <c r="U3585">
        <f>IF(ChurnData[[#This Row],[churn]]="yes",1,0)</f>
        <v>0</v>
      </c>
    </row>
    <row r="3586" spans="1:21" x14ac:dyDescent="0.3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  <c r="U3586">
        <f>IF(ChurnData[[#This Row],[churn]]="yes",1,0)</f>
        <v>0</v>
      </c>
    </row>
    <row r="3587" spans="1:21" x14ac:dyDescent="0.3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  <c r="U3587">
        <f>IF(ChurnData[[#This Row],[churn]]="yes",1,0)</f>
        <v>1</v>
      </c>
    </row>
    <row r="3588" spans="1:21" x14ac:dyDescent="0.3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  <c r="U3588">
        <f>IF(ChurnData[[#This Row],[churn]]="yes",1,0)</f>
        <v>0</v>
      </c>
    </row>
    <row r="3589" spans="1:21" x14ac:dyDescent="0.3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  <c r="U3589">
        <f>IF(ChurnData[[#This Row],[churn]]="yes",1,0)</f>
        <v>0</v>
      </c>
    </row>
    <row r="3590" spans="1:21" x14ac:dyDescent="0.3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  <c r="U3590">
        <f>IF(ChurnData[[#This Row],[churn]]="yes",1,0)</f>
        <v>0</v>
      </c>
    </row>
    <row r="3591" spans="1:21" x14ac:dyDescent="0.3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  <c r="U3591">
        <f>IF(ChurnData[[#This Row],[churn]]="yes",1,0)</f>
        <v>0</v>
      </c>
    </row>
    <row r="3592" spans="1:21" x14ac:dyDescent="0.3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  <c r="U3592">
        <f>IF(ChurnData[[#This Row],[churn]]="yes",1,0)</f>
        <v>0</v>
      </c>
    </row>
    <row r="3593" spans="1:21" x14ac:dyDescent="0.3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  <c r="U3593">
        <f>IF(ChurnData[[#This Row],[churn]]="yes",1,0)</f>
        <v>0</v>
      </c>
    </row>
    <row r="3594" spans="1:21" x14ac:dyDescent="0.3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  <c r="U3594">
        <f>IF(ChurnData[[#This Row],[churn]]="yes",1,0)</f>
        <v>0</v>
      </c>
    </row>
    <row r="3595" spans="1:21" x14ac:dyDescent="0.3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  <c r="U3595">
        <f>IF(ChurnData[[#This Row],[churn]]="yes",1,0)</f>
        <v>0</v>
      </c>
    </row>
    <row r="3596" spans="1:21" x14ac:dyDescent="0.3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  <c r="U3596">
        <f>IF(ChurnData[[#This Row],[churn]]="yes",1,0)</f>
        <v>0</v>
      </c>
    </row>
    <row r="3597" spans="1:21" x14ac:dyDescent="0.3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  <c r="U3597">
        <f>IF(ChurnData[[#This Row],[churn]]="yes",1,0)</f>
        <v>0</v>
      </c>
    </row>
    <row r="3598" spans="1:21" x14ac:dyDescent="0.3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  <c r="U3598">
        <f>IF(ChurnData[[#This Row],[churn]]="yes",1,0)</f>
        <v>0</v>
      </c>
    </row>
    <row r="3599" spans="1:21" x14ac:dyDescent="0.3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  <c r="U3599">
        <f>IF(ChurnData[[#This Row],[churn]]="yes",1,0)</f>
        <v>0</v>
      </c>
    </row>
    <row r="3600" spans="1:21" x14ac:dyDescent="0.3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  <c r="U3600">
        <f>IF(ChurnData[[#This Row],[churn]]="yes",1,0)</f>
        <v>1</v>
      </c>
    </row>
    <row r="3601" spans="1:21" x14ac:dyDescent="0.3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  <c r="U3601">
        <f>IF(ChurnData[[#This Row],[churn]]="yes",1,0)</f>
        <v>0</v>
      </c>
    </row>
    <row r="3602" spans="1:21" x14ac:dyDescent="0.3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  <c r="U3602">
        <f>IF(ChurnData[[#This Row],[churn]]="yes",1,0)</f>
        <v>1</v>
      </c>
    </row>
    <row r="3603" spans="1:21" x14ac:dyDescent="0.3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  <c r="U3603">
        <f>IF(ChurnData[[#This Row],[churn]]="yes",1,0)</f>
        <v>0</v>
      </c>
    </row>
    <row r="3604" spans="1:21" x14ac:dyDescent="0.3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  <c r="U3604">
        <f>IF(ChurnData[[#This Row],[churn]]="yes",1,0)</f>
        <v>0</v>
      </c>
    </row>
    <row r="3605" spans="1:21" x14ac:dyDescent="0.3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  <c r="U3605">
        <f>IF(ChurnData[[#This Row],[churn]]="yes",1,0)</f>
        <v>0</v>
      </c>
    </row>
    <row r="3606" spans="1:21" x14ac:dyDescent="0.3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  <c r="U3606">
        <f>IF(ChurnData[[#This Row],[churn]]="yes",1,0)</f>
        <v>1</v>
      </c>
    </row>
    <row r="3607" spans="1:21" x14ac:dyDescent="0.3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  <c r="U3607">
        <f>IF(ChurnData[[#This Row],[churn]]="yes",1,0)</f>
        <v>1</v>
      </c>
    </row>
    <row r="3608" spans="1:21" x14ac:dyDescent="0.3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  <c r="U3608">
        <f>IF(ChurnData[[#This Row],[churn]]="yes",1,0)</f>
        <v>0</v>
      </c>
    </row>
    <row r="3609" spans="1:21" x14ac:dyDescent="0.3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  <c r="U3609">
        <f>IF(ChurnData[[#This Row],[churn]]="yes",1,0)</f>
        <v>0</v>
      </c>
    </row>
    <row r="3610" spans="1:21" x14ac:dyDescent="0.3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  <c r="U3610">
        <f>IF(ChurnData[[#This Row],[churn]]="yes",1,0)</f>
        <v>0</v>
      </c>
    </row>
    <row r="3611" spans="1:21" x14ac:dyDescent="0.3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  <c r="U3611">
        <f>IF(ChurnData[[#This Row],[churn]]="yes",1,0)</f>
        <v>1</v>
      </c>
    </row>
    <row r="3612" spans="1:21" x14ac:dyDescent="0.3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  <c r="U3612">
        <f>IF(ChurnData[[#This Row],[churn]]="yes",1,0)</f>
        <v>0</v>
      </c>
    </row>
    <row r="3613" spans="1:21" x14ac:dyDescent="0.3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  <c r="U3613">
        <f>IF(ChurnData[[#This Row],[churn]]="yes",1,0)</f>
        <v>0</v>
      </c>
    </row>
    <row r="3614" spans="1:21" x14ac:dyDescent="0.3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  <c r="U3614">
        <f>IF(ChurnData[[#This Row],[churn]]="yes",1,0)</f>
        <v>0</v>
      </c>
    </row>
    <row r="3615" spans="1:21" x14ac:dyDescent="0.3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  <c r="U3615">
        <f>IF(ChurnData[[#This Row],[churn]]="yes",1,0)</f>
        <v>1</v>
      </c>
    </row>
    <row r="3616" spans="1:21" x14ac:dyDescent="0.3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  <c r="U3616">
        <f>IF(ChurnData[[#This Row],[churn]]="yes",1,0)</f>
        <v>0</v>
      </c>
    </row>
    <row r="3617" spans="1:21" x14ac:dyDescent="0.3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  <c r="U3617">
        <f>IF(ChurnData[[#This Row],[churn]]="yes",1,0)</f>
        <v>0</v>
      </c>
    </row>
    <row r="3618" spans="1:21" x14ac:dyDescent="0.3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  <c r="U3618">
        <f>IF(ChurnData[[#This Row],[churn]]="yes",1,0)</f>
        <v>0</v>
      </c>
    </row>
    <row r="3619" spans="1:21" x14ac:dyDescent="0.3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  <c r="U3619">
        <f>IF(ChurnData[[#This Row],[churn]]="yes",1,0)</f>
        <v>0</v>
      </c>
    </row>
    <row r="3620" spans="1:21" x14ac:dyDescent="0.3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  <c r="U3620">
        <f>IF(ChurnData[[#This Row],[churn]]="yes",1,0)</f>
        <v>0</v>
      </c>
    </row>
    <row r="3621" spans="1:21" x14ac:dyDescent="0.3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  <c r="U3621">
        <f>IF(ChurnData[[#This Row],[churn]]="yes",1,0)</f>
        <v>0</v>
      </c>
    </row>
    <row r="3622" spans="1:21" x14ac:dyDescent="0.3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  <c r="U3622">
        <f>IF(ChurnData[[#This Row],[churn]]="yes",1,0)</f>
        <v>0</v>
      </c>
    </row>
    <row r="3623" spans="1:21" x14ac:dyDescent="0.3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  <c r="U3623">
        <f>IF(ChurnData[[#This Row],[churn]]="yes",1,0)</f>
        <v>0</v>
      </c>
    </row>
    <row r="3624" spans="1:21" x14ac:dyDescent="0.3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  <c r="U3624">
        <f>IF(ChurnData[[#This Row],[churn]]="yes",1,0)</f>
        <v>0</v>
      </c>
    </row>
    <row r="3625" spans="1:21" x14ac:dyDescent="0.3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  <c r="U3625">
        <f>IF(ChurnData[[#This Row],[churn]]="yes",1,0)</f>
        <v>1</v>
      </c>
    </row>
    <row r="3626" spans="1:21" x14ac:dyDescent="0.3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  <c r="U3626">
        <f>IF(ChurnData[[#This Row],[churn]]="yes",1,0)</f>
        <v>0</v>
      </c>
    </row>
    <row r="3627" spans="1:21" x14ac:dyDescent="0.3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  <c r="U3627">
        <f>IF(ChurnData[[#This Row],[churn]]="yes",1,0)</f>
        <v>0</v>
      </c>
    </row>
    <row r="3628" spans="1:21" x14ac:dyDescent="0.3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  <c r="U3628">
        <f>IF(ChurnData[[#This Row],[churn]]="yes",1,0)</f>
        <v>1</v>
      </c>
    </row>
    <row r="3629" spans="1:21" x14ac:dyDescent="0.3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  <c r="U3629">
        <f>IF(ChurnData[[#This Row],[churn]]="yes",1,0)</f>
        <v>0</v>
      </c>
    </row>
    <row r="3630" spans="1:21" x14ac:dyDescent="0.3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  <c r="U3630">
        <f>IF(ChurnData[[#This Row],[churn]]="yes",1,0)</f>
        <v>1</v>
      </c>
    </row>
    <row r="3631" spans="1:21" x14ac:dyDescent="0.3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  <c r="U3631">
        <f>IF(ChurnData[[#This Row],[churn]]="yes",1,0)</f>
        <v>0</v>
      </c>
    </row>
    <row r="3632" spans="1:21" x14ac:dyDescent="0.3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  <c r="U3632">
        <f>IF(ChurnData[[#This Row],[churn]]="yes",1,0)</f>
        <v>0</v>
      </c>
    </row>
    <row r="3633" spans="1:21" x14ac:dyDescent="0.3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  <c r="U3633">
        <f>IF(ChurnData[[#This Row],[churn]]="yes",1,0)</f>
        <v>0</v>
      </c>
    </row>
    <row r="3634" spans="1:21" x14ac:dyDescent="0.3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  <c r="U3634">
        <f>IF(ChurnData[[#This Row],[churn]]="yes",1,0)</f>
        <v>0</v>
      </c>
    </row>
    <row r="3635" spans="1:21" x14ac:dyDescent="0.3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  <c r="U3635">
        <f>IF(ChurnData[[#This Row],[churn]]="yes",1,0)</f>
        <v>0</v>
      </c>
    </row>
    <row r="3636" spans="1:21" x14ac:dyDescent="0.3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  <c r="U3636">
        <f>IF(ChurnData[[#This Row],[churn]]="yes",1,0)</f>
        <v>0</v>
      </c>
    </row>
    <row r="3637" spans="1:21" x14ac:dyDescent="0.3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  <c r="U3637">
        <f>IF(ChurnData[[#This Row],[churn]]="yes",1,0)</f>
        <v>0</v>
      </c>
    </row>
    <row r="3638" spans="1:21" x14ac:dyDescent="0.3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  <c r="U3638">
        <f>IF(ChurnData[[#This Row],[churn]]="yes",1,0)</f>
        <v>1</v>
      </c>
    </row>
    <row r="3639" spans="1:21" x14ac:dyDescent="0.3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  <c r="U3639">
        <f>IF(ChurnData[[#This Row],[churn]]="yes",1,0)</f>
        <v>0</v>
      </c>
    </row>
    <row r="3640" spans="1:21" x14ac:dyDescent="0.3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  <c r="U3640">
        <f>IF(ChurnData[[#This Row],[churn]]="yes",1,0)</f>
        <v>1</v>
      </c>
    </row>
    <row r="3641" spans="1:21" x14ac:dyDescent="0.3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  <c r="U3641">
        <f>IF(ChurnData[[#This Row],[churn]]="yes",1,0)</f>
        <v>1</v>
      </c>
    </row>
    <row r="3642" spans="1:21" x14ac:dyDescent="0.3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  <c r="U3642">
        <f>IF(ChurnData[[#This Row],[churn]]="yes",1,0)</f>
        <v>0</v>
      </c>
    </row>
    <row r="3643" spans="1:21" x14ac:dyDescent="0.3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  <c r="U3643">
        <f>IF(ChurnData[[#This Row],[churn]]="yes",1,0)</f>
        <v>0</v>
      </c>
    </row>
    <row r="3644" spans="1:21" x14ac:dyDescent="0.3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  <c r="U3644">
        <f>IF(ChurnData[[#This Row],[churn]]="yes",1,0)</f>
        <v>0</v>
      </c>
    </row>
    <row r="3645" spans="1:21" x14ac:dyDescent="0.3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  <c r="U3645">
        <f>IF(ChurnData[[#This Row],[churn]]="yes",1,0)</f>
        <v>0</v>
      </c>
    </row>
    <row r="3646" spans="1:21" x14ac:dyDescent="0.3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  <c r="U3646">
        <f>IF(ChurnData[[#This Row],[churn]]="yes",1,0)</f>
        <v>0</v>
      </c>
    </row>
    <row r="3647" spans="1:21" x14ac:dyDescent="0.3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  <c r="U3647">
        <f>IF(ChurnData[[#This Row],[churn]]="yes",1,0)</f>
        <v>0</v>
      </c>
    </row>
    <row r="3648" spans="1:21" x14ac:dyDescent="0.3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  <c r="U3648">
        <f>IF(ChurnData[[#This Row],[churn]]="yes",1,0)</f>
        <v>0</v>
      </c>
    </row>
    <row r="3649" spans="1:21" x14ac:dyDescent="0.3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  <c r="U3649">
        <f>IF(ChurnData[[#This Row],[churn]]="yes",1,0)</f>
        <v>0</v>
      </c>
    </row>
    <row r="3650" spans="1:21" x14ac:dyDescent="0.3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  <c r="U3650">
        <f>IF(ChurnData[[#This Row],[churn]]="yes",1,0)</f>
        <v>1</v>
      </c>
    </row>
    <row r="3651" spans="1:21" x14ac:dyDescent="0.3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  <c r="U3651">
        <f>IF(ChurnData[[#This Row],[churn]]="yes",1,0)</f>
        <v>0</v>
      </c>
    </row>
    <row r="3652" spans="1:21" x14ac:dyDescent="0.3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  <c r="U3652">
        <f>IF(ChurnData[[#This Row],[churn]]="yes",1,0)</f>
        <v>1</v>
      </c>
    </row>
    <row r="3653" spans="1:21" x14ac:dyDescent="0.3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  <c r="U3653">
        <f>IF(ChurnData[[#This Row],[churn]]="yes",1,0)</f>
        <v>0</v>
      </c>
    </row>
    <row r="3654" spans="1:21" x14ac:dyDescent="0.3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  <c r="U3654">
        <f>IF(ChurnData[[#This Row],[churn]]="yes",1,0)</f>
        <v>0</v>
      </c>
    </row>
    <row r="3655" spans="1:21" x14ac:dyDescent="0.3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  <c r="U3655">
        <f>IF(ChurnData[[#This Row],[churn]]="yes",1,0)</f>
        <v>0</v>
      </c>
    </row>
    <row r="3656" spans="1:21" x14ac:dyDescent="0.3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  <c r="U3656">
        <f>IF(ChurnData[[#This Row],[churn]]="yes",1,0)</f>
        <v>0</v>
      </c>
    </row>
    <row r="3657" spans="1:21" x14ac:dyDescent="0.3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  <c r="U3657">
        <f>IF(ChurnData[[#This Row],[churn]]="yes",1,0)</f>
        <v>0</v>
      </c>
    </row>
    <row r="3658" spans="1:21" x14ac:dyDescent="0.3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  <c r="U3658">
        <f>IF(ChurnData[[#This Row],[churn]]="yes",1,0)</f>
        <v>0</v>
      </c>
    </row>
    <row r="3659" spans="1:21" x14ac:dyDescent="0.3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  <c r="U3659">
        <f>IF(ChurnData[[#This Row],[churn]]="yes",1,0)</f>
        <v>0</v>
      </c>
    </row>
    <row r="3660" spans="1:21" x14ac:dyDescent="0.3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  <c r="U3660">
        <f>IF(ChurnData[[#This Row],[churn]]="yes",1,0)</f>
        <v>0</v>
      </c>
    </row>
    <row r="3661" spans="1:21" x14ac:dyDescent="0.3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  <c r="U3661">
        <f>IF(ChurnData[[#This Row],[churn]]="yes",1,0)</f>
        <v>0</v>
      </c>
    </row>
    <row r="3662" spans="1:21" x14ac:dyDescent="0.3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  <c r="U3662">
        <f>IF(ChurnData[[#This Row],[churn]]="yes",1,0)</f>
        <v>0</v>
      </c>
    </row>
    <row r="3663" spans="1:21" x14ac:dyDescent="0.3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  <c r="U3663">
        <f>IF(ChurnData[[#This Row],[churn]]="yes",1,0)</f>
        <v>0</v>
      </c>
    </row>
    <row r="3664" spans="1:21" x14ac:dyDescent="0.3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  <c r="U3664">
        <f>IF(ChurnData[[#This Row],[churn]]="yes",1,0)</f>
        <v>0</v>
      </c>
    </row>
    <row r="3665" spans="1:21" x14ac:dyDescent="0.3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  <c r="U3665">
        <f>IF(ChurnData[[#This Row],[churn]]="yes",1,0)</f>
        <v>0</v>
      </c>
    </row>
    <row r="3666" spans="1:21" x14ac:dyDescent="0.3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  <c r="U3666">
        <f>IF(ChurnData[[#This Row],[churn]]="yes",1,0)</f>
        <v>1</v>
      </c>
    </row>
    <row r="3667" spans="1:21" x14ac:dyDescent="0.3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  <c r="U3667">
        <f>IF(ChurnData[[#This Row],[churn]]="yes",1,0)</f>
        <v>0</v>
      </c>
    </row>
    <row r="3668" spans="1:21" x14ac:dyDescent="0.3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  <c r="U3668">
        <f>IF(ChurnData[[#This Row],[churn]]="yes",1,0)</f>
        <v>0</v>
      </c>
    </row>
    <row r="3669" spans="1:21" x14ac:dyDescent="0.3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  <c r="U3669">
        <f>IF(ChurnData[[#This Row],[churn]]="yes",1,0)</f>
        <v>0</v>
      </c>
    </row>
    <row r="3670" spans="1:21" x14ac:dyDescent="0.3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  <c r="U3670">
        <f>IF(ChurnData[[#This Row],[churn]]="yes",1,0)</f>
        <v>1</v>
      </c>
    </row>
    <row r="3671" spans="1:21" x14ac:dyDescent="0.3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  <c r="U3671">
        <f>IF(ChurnData[[#This Row],[churn]]="yes",1,0)</f>
        <v>1</v>
      </c>
    </row>
    <row r="3672" spans="1:21" x14ac:dyDescent="0.3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  <c r="U3672">
        <f>IF(ChurnData[[#This Row],[churn]]="yes",1,0)</f>
        <v>0</v>
      </c>
    </row>
    <row r="3673" spans="1:21" x14ac:dyDescent="0.3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  <c r="U3673">
        <f>IF(ChurnData[[#This Row],[churn]]="yes",1,0)</f>
        <v>0</v>
      </c>
    </row>
    <row r="3674" spans="1:21" x14ac:dyDescent="0.3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  <c r="U3674">
        <f>IF(ChurnData[[#This Row],[churn]]="yes",1,0)</f>
        <v>0</v>
      </c>
    </row>
    <row r="3675" spans="1:21" x14ac:dyDescent="0.3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  <c r="U3675">
        <f>IF(ChurnData[[#This Row],[churn]]="yes",1,0)</f>
        <v>0</v>
      </c>
    </row>
    <row r="3676" spans="1:21" x14ac:dyDescent="0.3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  <c r="U3676">
        <f>IF(ChurnData[[#This Row],[churn]]="yes",1,0)</f>
        <v>1</v>
      </c>
    </row>
    <row r="3677" spans="1:21" x14ac:dyDescent="0.3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  <c r="U3677">
        <f>IF(ChurnData[[#This Row],[churn]]="yes",1,0)</f>
        <v>0</v>
      </c>
    </row>
    <row r="3678" spans="1:21" x14ac:dyDescent="0.3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  <c r="U3678">
        <f>IF(ChurnData[[#This Row],[churn]]="yes",1,0)</f>
        <v>0</v>
      </c>
    </row>
    <row r="3679" spans="1:21" x14ac:dyDescent="0.3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  <c r="U3679">
        <f>IF(ChurnData[[#This Row],[churn]]="yes",1,0)</f>
        <v>0</v>
      </c>
    </row>
    <row r="3680" spans="1:21" x14ac:dyDescent="0.3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  <c r="U3680">
        <f>IF(ChurnData[[#This Row],[churn]]="yes",1,0)</f>
        <v>0</v>
      </c>
    </row>
    <row r="3681" spans="1:21" x14ac:dyDescent="0.3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  <c r="U3681">
        <f>IF(ChurnData[[#This Row],[churn]]="yes",1,0)</f>
        <v>0</v>
      </c>
    </row>
    <row r="3682" spans="1:21" x14ac:dyDescent="0.3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  <c r="U3682">
        <f>IF(ChurnData[[#This Row],[churn]]="yes",1,0)</f>
        <v>0</v>
      </c>
    </row>
    <row r="3683" spans="1:21" x14ac:dyDescent="0.3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  <c r="U3683">
        <f>IF(ChurnData[[#This Row],[churn]]="yes",1,0)</f>
        <v>0</v>
      </c>
    </row>
    <row r="3684" spans="1:21" x14ac:dyDescent="0.3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  <c r="U3684">
        <f>IF(ChurnData[[#This Row],[churn]]="yes",1,0)</f>
        <v>0</v>
      </c>
    </row>
    <row r="3685" spans="1:21" x14ac:dyDescent="0.3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  <c r="U3685">
        <f>IF(ChurnData[[#This Row],[churn]]="yes",1,0)</f>
        <v>0</v>
      </c>
    </row>
    <row r="3686" spans="1:21" x14ac:dyDescent="0.3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  <c r="U3686">
        <f>IF(ChurnData[[#This Row],[churn]]="yes",1,0)</f>
        <v>0</v>
      </c>
    </row>
    <row r="3687" spans="1:21" x14ac:dyDescent="0.3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  <c r="U3687">
        <f>IF(ChurnData[[#This Row],[churn]]="yes",1,0)</f>
        <v>0</v>
      </c>
    </row>
    <row r="3688" spans="1:21" x14ac:dyDescent="0.3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  <c r="U3688">
        <f>IF(ChurnData[[#This Row],[churn]]="yes",1,0)</f>
        <v>0</v>
      </c>
    </row>
    <row r="3689" spans="1:21" x14ac:dyDescent="0.3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  <c r="U3689">
        <f>IF(ChurnData[[#This Row],[churn]]="yes",1,0)</f>
        <v>0</v>
      </c>
    </row>
    <row r="3690" spans="1:21" x14ac:dyDescent="0.3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  <c r="U3690">
        <f>IF(ChurnData[[#This Row],[churn]]="yes",1,0)</f>
        <v>0</v>
      </c>
    </row>
    <row r="3691" spans="1:21" x14ac:dyDescent="0.3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  <c r="U3691">
        <f>IF(ChurnData[[#This Row],[churn]]="yes",1,0)</f>
        <v>0</v>
      </c>
    </row>
    <row r="3692" spans="1:21" x14ac:dyDescent="0.3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  <c r="U3692">
        <f>IF(ChurnData[[#This Row],[churn]]="yes",1,0)</f>
        <v>1</v>
      </c>
    </row>
    <row r="3693" spans="1:21" x14ac:dyDescent="0.3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  <c r="U3693">
        <f>IF(ChurnData[[#This Row],[churn]]="yes",1,0)</f>
        <v>0</v>
      </c>
    </row>
    <row r="3694" spans="1:21" x14ac:dyDescent="0.3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  <c r="U3694">
        <f>IF(ChurnData[[#This Row],[churn]]="yes",1,0)</f>
        <v>0</v>
      </c>
    </row>
    <row r="3695" spans="1:21" x14ac:dyDescent="0.3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  <c r="U3695">
        <f>IF(ChurnData[[#This Row],[churn]]="yes",1,0)</f>
        <v>0</v>
      </c>
    </row>
    <row r="3696" spans="1:21" x14ac:dyDescent="0.3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  <c r="U3696">
        <f>IF(ChurnData[[#This Row],[churn]]="yes",1,0)</f>
        <v>0</v>
      </c>
    </row>
    <row r="3697" spans="1:21" x14ac:dyDescent="0.3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  <c r="U3697">
        <f>IF(ChurnData[[#This Row],[churn]]="yes",1,0)</f>
        <v>0</v>
      </c>
    </row>
    <row r="3698" spans="1:21" x14ac:dyDescent="0.3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  <c r="U3698">
        <f>IF(ChurnData[[#This Row],[churn]]="yes",1,0)</f>
        <v>0</v>
      </c>
    </row>
    <row r="3699" spans="1:21" x14ac:dyDescent="0.3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  <c r="U3699">
        <f>IF(ChurnData[[#This Row],[churn]]="yes",1,0)</f>
        <v>0</v>
      </c>
    </row>
    <row r="3700" spans="1:21" x14ac:dyDescent="0.3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  <c r="U3700">
        <f>IF(ChurnData[[#This Row],[churn]]="yes",1,0)</f>
        <v>0</v>
      </c>
    </row>
    <row r="3701" spans="1:21" x14ac:dyDescent="0.3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  <c r="U3701">
        <f>IF(ChurnData[[#This Row],[churn]]="yes",1,0)</f>
        <v>1</v>
      </c>
    </row>
    <row r="3702" spans="1:21" x14ac:dyDescent="0.3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  <c r="U3702">
        <f>IF(ChurnData[[#This Row],[churn]]="yes",1,0)</f>
        <v>0</v>
      </c>
    </row>
    <row r="3703" spans="1:21" x14ac:dyDescent="0.3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  <c r="U3703">
        <f>IF(ChurnData[[#This Row],[churn]]="yes",1,0)</f>
        <v>0</v>
      </c>
    </row>
    <row r="3704" spans="1:21" x14ac:dyDescent="0.3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  <c r="U3704">
        <f>IF(ChurnData[[#This Row],[churn]]="yes",1,0)</f>
        <v>1</v>
      </c>
    </row>
    <row r="3705" spans="1:21" x14ac:dyDescent="0.3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  <c r="U3705">
        <f>IF(ChurnData[[#This Row],[churn]]="yes",1,0)</f>
        <v>1</v>
      </c>
    </row>
    <row r="3706" spans="1:21" x14ac:dyDescent="0.3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  <c r="U3706">
        <f>IF(ChurnData[[#This Row],[churn]]="yes",1,0)</f>
        <v>0</v>
      </c>
    </row>
    <row r="3707" spans="1:21" x14ac:dyDescent="0.3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  <c r="U3707">
        <f>IF(ChurnData[[#This Row],[churn]]="yes",1,0)</f>
        <v>0</v>
      </c>
    </row>
    <row r="3708" spans="1:21" x14ac:dyDescent="0.3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  <c r="U3708">
        <f>IF(ChurnData[[#This Row],[churn]]="yes",1,0)</f>
        <v>0</v>
      </c>
    </row>
    <row r="3709" spans="1:21" x14ac:dyDescent="0.3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  <c r="U3709">
        <f>IF(ChurnData[[#This Row],[churn]]="yes",1,0)</f>
        <v>0</v>
      </c>
    </row>
    <row r="3710" spans="1:21" x14ac:dyDescent="0.3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  <c r="U3710">
        <f>IF(ChurnData[[#This Row],[churn]]="yes",1,0)</f>
        <v>1</v>
      </c>
    </row>
    <row r="3711" spans="1:21" x14ac:dyDescent="0.3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  <c r="U3711">
        <f>IF(ChurnData[[#This Row],[churn]]="yes",1,0)</f>
        <v>0</v>
      </c>
    </row>
    <row r="3712" spans="1:21" x14ac:dyDescent="0.3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  <c r="U3712">
        <f>IF(ChurnData[[#This Row],[churn]]="yes",1,0)</f>
        <v>0</v>
      </c>
    </row>
    <row r="3713" spans="1:21" x14ac:dyDescent="0.3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  <c r="U3713">
        <f>IF(ChurnData[[#This Row],[churn]]="yes",1,0)</f>
        <v>0</v>
      </c>
    </row>
    <row r="3714" spans="1:21" x14ac:dyDescent="0.3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  <c r="U3714">
        <f>IF(ChurnData[[#This Row],[churn]]="yes",1,0)</f>
        <v>0</v>
      </c>
    </row>
    <row r="3715" spans="1:21" x14ac:dyDescent="0.3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  <c r="U3715">
        <f>IF(ChurnData[[#This Row],[churn]]="yes",1,0)</f>
        <v>1</v>
      </c>
    </row>
    <row r="3716" spans="1:21" x14ac:dyDescent="0.3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  <c r="U3716">
        <f>IF(ChurnData[[#This Row],[churn]]="yes",1,0)</f>
        <v>0</v>
      </c>
    </row>
    <row r="3717" spans="1:21" x14ac:dyDescent="0.3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  <c r="U3717">
        <f>IF(ChurnData[[#This Row],[churn]]="yes",1,0)</f>
        <v>0</v>
      </c>
    </row>
    <row r="3718" spans="1:21" x14ac:dyDescent="0.3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  <c r="U3718">
        <f>IF(ChurnData[[#This Row],[churn]]="yes",1,0)</f>
        <v>1</v>
      </c>
    </row>
    <row r="3719" spans="1:21" x14ac:dyDescent="0.3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  <c r="U3719">
        <f>IF(ChurnData[[#This Row],[churn]]="yes",1,0)</f>
        <v>0</v>
      </c>
    </row>
    <row r="3720" spans="1:21" x14ac:dyDescent="0.3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  <c r="U3720">
        <f>IF(ChurnData[[#This Row],[churn]]="yes",1,0)</f>
        <v>0</v>
      </c>
    </row>
    <row r="3721" spans="1:21" x14ac:dyDescent="0.3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  <c r="U3721">
        <f>IF(ChurnData[[#This Row],[churn]]="yes",1,0)</f>
        <v>0</v>
      </c>
    </row>
    <row r="3722" spans="1:21" x14ac:dyDescent="0.3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  <c r="U3722">
        <f>IF(ChurnData[[#This Row],[churn]]="yes",1,0)</f>
        <v>0</v>
      </c>
    </row>
    <row r="3723" spans="1:21" x14ac:dyDescent="0.3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  <c r="U3723">
        <f>IF(ChurnData[[#This Row],[churn]]="yes",1,0)</f>
        <v>0</v>
      </c>
    </row>
    <row r="3724" spans="1:21" x14ac:dyDescent="0.3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  <c r="U3724">
        <f>IF(ChurnData[[#This Row],[churn]]="yes",1,0)</f>
        <v>0</v>
      </c>
    </row>
    <row r="3725" spans="1:21" x14ac:dyDescent="0.3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  <c r="U3725">
        <f>IF(ChurnData[[#This Row],[churn]]="yes",1,0)</f>
        <v>0</v>
      </c>
    </row>
    <row r="3726" spans="1:21" x14ac:dyDescent="0.3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  <c r="U3726">
        <f>IF(ChurnData[[#This Row],[churn]]="yes",1,0)</f>
        <v>0</v>
      </c>
    </row>
    <row r="3727" spans="1:21" x14ac:dyDescent="0.3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  <c r="U3727">
        <f>IF(ChurnData[[#This Row],[churn]]="yes",1,0)</f>
        <v>0</v>
      </c>
    </row>
    <row r="3728" spans="1:21" x14ac:dyDescent="0.3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  <c r="U3728">
        <f>IF(ChurnData[[#This Row],[churn]]="yes",1,0)</f>
        <v>0</v>
      </c>
    </row>
    <row r="3729" spans="1:21" x14ac:dyDescent="0.3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  <c r="U3729">
        <f>IF(ChurnData[[#This Row],[churn]]="yes",1,0)</f>
        <v>0</v>
      </c>
    </row>
    <row r="3730" spans="1:21" x14ac:dyDescent="0.3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  <c r="U3730">
        <f>IF(ChurnData[[#This Row],[churn]]="yes",1,0)</f>
        <v>0</v>
      </c>
    </row>
    <row r="3731" spans="1:21" x14ac:dyDescent="0.3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  <c r="U3731">
        <f>IF(ChurnData[[#This Row],[churn]]="yes",1,0)</f>
        <v>0</v>
      </c>
    </row>
    <row r="3732" spans="1:21" x14ac:dyDescent="0.3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  <c r="U3732">
        <f>IF(ChurnData[[#This Row],[churn]]="yes",1,0)</f>
        <v>0</v>
      </c>
    </row>
    <row r="3733" spans="1:21" x14ac:dyDescent="0.3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  <c r="U3733">
        <f>IF(ChurnData[[#This Row],[churn]]="yes",1,0)</f>
        <v>0</v>
      </c>
    </row>
    <row r="3734" spans="1:21" x14ac:dyDescent="0.3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  <c r="U3734">
        <f>IF(ChurnData[[#This Row],[churn]]="yes",1,0)</f>
        <v>1</v>
      </c>
    </row>
    <row r="3735" spans="1:21" x14ac:dyDescent="0.3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  <c r="U3735">
        <f>IF(ChurnData[[#This Row],[churn]]="yes",1,0)</f>
        <v>0</v>
      </c>
    </row>
    <row r="3736" spans="1:21" x14ac:dyDescent="0.3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  <c r="U3736">
        <f>IF(ChurnData[[#This Row],[churn]]="yes",1,0)</f>
        <v>1</v>
      </c>
    </row>
    <row r="3737" spans="1:21" x14ac:dyDescent="0.3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  <c r="U3737">
        <f>IF(ChurnData[[#This Row],[churn]]="yes",1,0)</f>
        <v>0</v>
      </c>
    </row>
    <row r="3738" spans="1:21" x14ac:dyDescent="0.3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  <c r="U3738">
        <f>IF(ChurnData[[#This Row],[churn]]="yes",1,0)</f>
        <v>0</v>
      </c>
    </row>
    <row r="3739" spans="1:21" x14ac:dyDescent="0.3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  <c r="U3739">
        <f>IF(ChurnData[[#This Row],[churn]]="yes",1,0)</f>
        <v>1</v>
      </c>
    </row>
    <row r="3740" spans="1:21" x14ac:dyDescent="0.3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  <c r="U3740">
        <f>IF(ChurnData[[#This Row],[churn]]="yes",1,0)</f>
        <v>0</v>
      </c>
    </row>
    <row r="3741" spans="1:21" x14ac:dyDescent="0.3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  <c r="U3741">
        <f>IF(ChurnData[[#This Row],[churn]]="yes",1,0)</f>
        <v>0</v>
      </c>
    </row>
    <row r="3742" spans="1:21" x14ac:dyDescent="0.3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  <c r="U3742">
        <f>IF(ChurnData[[#This Row],[churn]]="yes",1,0)</f>
        <v>0</v>
      </c>
    </row>
    <row r="3743" spans="1:21" x14ac:dyDescent="0.3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  <c r="U3743">
        <f>IF(ChurnData[[#This Row],[churn]]="yes",1,0)</f>
        <v>0</v>
      </c>
    </row>
    <row r="3744" spans="1:21" x14ac:dyDescent="0.3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  <c r="U3744">
        <f>IF(ChurnData[[#This Row],[churn]]="yes",1,0)</f>
        <v>0</v>
      </c>
    </row>
    <row r="3745" spans="1:21" x14ac:dyDescent="0.3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  <c r="U3745">
        <f>IF(ChurnData[[#This Row],[churn]]="yes",1,0)</f>
        <v>0</v>
      </c>
    </row>
    <row r="3746" spans="1:21" x14ac:dyDescent="0.3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  <c r="U3746">
        <f>IF(ChurnData[[#This Row],[churn]]="yes",1,0)</f>
        <v>0</v>
      </c>
    </row>
    <row r="3747" spans="1:21" x14ac:dyDescent="0.3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  <c r="U3747">
        <f>IF(ChurnData[[#This Row],[churn]]="yes",1,0)</f>
        <v>0</v>
      </c>
    </row>
    <row r="3748" spans="1:21" x14ac:dyDescent="0.3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  <c r="U3748">
        <f>IF(ChurnData[[#This Row],[churn]]="yes",1,0)</f>
        <v>0</v>
      </c>
    </row>
    <row r="3749" spans="1:21" x14ac:dyDescent="0.3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  <c r="U3749">
        <f>IF(ChurnData[[#This Row],[churn]]="yes",1,0)</f>
        <v>0</v>
      </c>
    </row>
    <row r="3750" spans="1:21" x14ac:dyDescent="0.3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  <c r="U3750">
        <f>IF(ChurnData[[#This Row],[churn]]="yes",1,0)</f>
        <v>0</v>
      </c>
    </row>
    <row r="3751" spans="1:21" x14ac:dyDescent="0.3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  <c r="U3751">
        <f>IF(ChurnData[[#This Row],[churn]]="yes",1,0)</f>
        <v>0</v>
      </c>
    </row>
    <row r="3752" spans="1:21" x14ac:dyDescent="0.3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  <c r="U3752">
        <f>IF(ChurnData[[#This Row],[churn]]="yes",1,0)</f>
        <v>0</v>
      </c>
    </row>
    <row r="3753" spans="1:21" x14ac:dyDescent="0.3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  <c r="U3753">
        <f>IF(ChurnData[[#This Row],[churn]]="yes",1,0)</f>
        <v>0</v>
      </c>
    </row>
    <row r="3754" spans="1:21" x14ac:dyDescent="0.3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  <c r="U3754">
        <f>IF(ChurnData[[#This Row],[churn]]="yes",1,0)</f>
        <v>0</v>
      </c>
    </row>
    <row r="3755" spans="1:21" x14ac:dyDescent="0.3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  <c r="U3755">
        <f>IF(ChurnData[[#This Row],[churn]]="yes",1,0)</f>
        <v>0</v>
      </c>
    </row>
    <row r="3756" spans="1:21" x14ac:dyDescent="0.3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  <c r="U3756">
        <f>IF(ChurnData[[#This Row],[churn]]="yes",1,0)</f>
        <v>0</v>
      </c>
    </row>
    <row r="3757" spans="1:21" x14ac:dyDescent="0.3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  <c r="U3757">
        <f>IF(ChurnData[[#This Row],[churn]]="yes",1,0)</f>
        <v>0</v>
      </c>
    </row>
    <row r="3758" spans="1:21" x14ac:dyDescent="0.3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  <c r="U3758">
        <f>IF(ChurnData[[#This Row],[churn]]="yes",1,0)</f>
        <v>0</v>
      </c>
    </row>
    <row r="3759" spans="1:21" x14ac:dyDescent="0.3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  <c r="U3759">
        <f>IF(ChurnData[[#This Row],[churn]]="yes",1,0)</f>
        <v>1</v>
      </c>
    </row>
    <row r="3760" spans="1:21" x14ac:dyDescent="0.3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  <c r="U3760">
        <f>IF(ChurnData[[#This Row],[churn]]="yes",1,0)</f>
        <v>0</v>
      </c>
    </row>
    <row r="3761" spans="1:21" x14ac:dyDescent="0.3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  <c r="U3761">
        <f>IF(ChurnData[[#This Row],[churn]]="yes",1,0)</f>
        <v>0</v>
      </c>
    </row>
    <row r="3762" spans="1:21" x14ac:dyDescent="0.3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  <c r="U3762">
        <f>IF(ChurnData[[#This Row],[churn]]="yes",1,0)</f>
        <v>0</v>
      </c>
    </row>
    <row r="3763" spans="1:21" x14ac:dyDescent="0.3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  <c r="U3763">
        <f>IF(ChurnData[[#This Row],[churn]]="yes",1,0)</f>
        <v>0</v>
      </c>
    </row>
    <row r="3764" spans="1:21" x14ac:dyDescent="0.3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  <c r="U3764">
        <f>IF(ChurnData[[#This Row],[churn]]="yes",1,0)</f>
        <v>0</v>
      </c>
    </row>
    <row r="3765" spans="1:21" x14ac:dyDescent="0.3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  <c r="U3765">
        <f>IF(ChurnData[[#This Row],[churn]]="yes",1,0)</f>
        <v>0</v>
      </c>
    </row>
    <row r="3766" spans="1:21" x14ac:dyDescent="0.3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  <c r="U3766">
        <f>IF(ChurnData[[#This Row],[churn]]="yes",1,0)</f>
        <v>0</v>
      </c>
    </row>
    <row r="3767" spans="1:21" x14ac:dyDescent="0.3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  <c r="U3767">
        <f>IF(ChurnData[[#This Row],[churn]]="yes",1,0)</f>
        <v>0</v>
      </c>
    </row>
    <row r="3768" spans="1:21" x14ac:dyDescent="0.3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  <c r="U3768">
        <f>IF(ChurnData[[#This Row],[churn]]="yes",1,0)</f>
        <v>0</v>
      </c>
    </row>
    <row r="3769" spans="1:21" x14ac:dyDescent="0.3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  <c r="U3769">
        <f>IF(ChurnData[[#This Row],[churn]]="yes",1,0)</f>
        <v>0</v>
      </c>
    </row>
    <row r="3770" spans="1:21" x14ac:dyDescent="0.3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  <c r="U3770">
        <f>IF(ChurnData[[#This Row],[churn]]="yes",1,0)</f>
        <v>0</v>
      </c>
    </row>
    <row r="3771" spans="1:21" x14ac:dyDescent="0.3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  <c r="U3771">
        <f>IF(ChurnData[[#This Row],[churn]]="yes",1,0)</f>
        <v>0</v>
      </c>
    </row>
    <row r="3772" spans="1:21" x14ac:dyDescent="0.3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  <c r="U3772">
        <f>IF(ChurnData[[#This Row],[churn]]="yes",1,0)</f>
        <v>0</v>
      </c>
    </row>
    <row r="3773" spans="1:21" x14ac:dyDescent="0.3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  <c r="U3773">
        <f>IF(ChurnData[[#This Row],[churn]]="yes",1,0)</f>
        <v>0</v>
      </c>
    </row>
    <row r="3774" spans="1:21" x14ac:dyDescent="0.3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  <c r="U3774">
        <f>IF(ChurnData[[#This Row],[churn]]="yes",1,0)</f>
        <v>0</v>
      </c>
    </row>
    <row r="3775" spans="1:21" x14ac:dyDescent="0.3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  <c r="U3775">
        <f>IF(ChurnData[[#This Row],[churn]]="yes",1,0)</f>
        <v>0</v>
      </c>
    </row>
    <row r="3776" spans="1:21" x14ac:dyDescent="0.3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  <c r="U3776">
        <f>IF(ChurnData[[#This Row],[churn]]="yes",1,0)</f>
        <v>0</v>
      </c>
    </row>
    <row r="3777" spans="1:21" x14ac:dyDescent="0.3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  <c r="U3777">
        <f>IF(ChurnData[[#This Row],[churn]]="yes",1,0)</f>
        <v>0</v>
      </c>
    </row>
    <row r="3778" spans="1:21" x14ac:dyDescent="0.3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  <c r="U3778">
        <f>IF(ChurnData[[#This Row],[churn]]="yes",1,0)</f>
        <v>0</v>
      </c>
    </row>
    <row r="3779" spans="1:21" x14ac:dyDescent="0.3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  <c r="U3779">
        <f>IF(ChurnData[[#This Row],[churn]]="yes",1,0)</f>
        <v>0</v>
      </c>
    </row>
    <row r="3780" spans="1:21" x14ac:dyDescent="0.3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  <c r="U3780">
        <f>IF(ChurnData[[#This Row],[churn]]="yes",1,0)</f>
        <v>0</v>
      </c>
    </row>
    <row r="3781" spans="1:21" x14ac:dyDescent="0.3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  <c r="U3781">
        <f>IF(ChurnData[[#This Row],[churn]]="yes",1,0)</f>
        <v>0</v>
      </c>
    </row>
    <row r="3782" spans="1:21" x14ac:dyDescent="0.3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  <c r="U3782">
        <f>IF(ChurnData[[#This Row],[churn]]="yes",1,0)</f>
        <v>0</v>
      </c>
    </row>
    <row r="3783" spans="1:21" x14ac:dyDescent="0.3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  <c r="U3783">
        <f>IF(ChurnData[[#This Row],[churn]]="yes",1,0)</f>
        <v>1</v>
      </c>
    </row>
    <row r="3784" spans="1:21" x14ac:dyDescent="0.3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  <c r="U3784">
        <f>IF(ChurnData[[#This Row],[churn]]="yes",1,0)</f>
        <v>0</v>
      </c>
    </row>
    <row r="3785" spans="1:21" x14ac:dyDescent="0.3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  <c r="U3785">
        <f>IF(ChurnData[[#This Row],[churn]]="yes",1,0)</f>
        <v>0</v>
      </c>
    </row>
    <row r="3786" spans="1:21" x14ac:dyDescent="0.3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  <c r="U3786">
        <f>IF(ChurnData[[#This Row],[churn]]="yes",1,0)</f>
        <v>0</v>
      </c>
    </row>
    <row r="3787" spans="1:21" x14ac:dyDescent="0.3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  <c r="U3787">
        <f>IF(ChurnData[[#This Row],[churn]]="yes",1,0)</f>
        <v>0</v>
      </c>
    </row>
    <row r="3788" spans="1:21" x14ac:dyDescent="0.3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  <c r="U3788">
        <f>IF(ChurnData[[#This Row],[churn]]="yes",1,0)</f>
        <v>0</v>
      </c>
    </row>
    <row r="3789" spans="1:21" x14ac:dyDescent="0.3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  <c r="U3789">
        <f>IF(ChurnData[[#This Row],[churn]]="yes",1,0)</f>
        <v>0</v>
      </c>
    </row>
    <row r="3790" spans="1:21" x14ac:dyDescent="0.3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  <c r="U3790">
        <f>IF(ChurnData[[#This Row],[churn]]="yes",1,0)</f>
        <v>0</v>
      </c>
    </row>
    <row r="3791" spans="1:21" x14ac:dyDescent="0.3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  <c r="U3791">
        <f>IF(ChurnData[[#This Row],[churn]]="yes",1,0)</f>
        <v>0</v>
      </c>
    </row>
    <row r="3792" spans="1:21" x14ac:dyDescent="0.3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  <c r="U3792">
        <f>IF(ChurnData[[#This Row],[churn]]="yes",1,0)</f>
        <v>0</v>
      </c>
    </row>
    <row r="3793" spans="1:21" x14ac:dyDescent="0.3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  <c r="U3793">
        <f>IF(ChurnData[[#This Row],[churn]]="yes",1,0)</f>
        <v>1</v>
      </c>
    </row>
    <row r="3794" spans="1:21" x14ac:dyDescent="0.3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  <c r="U3794">
        <f>IF(ChurnData[[#This Row],[churn]]="yes",1,0)</f>
        <v>0</v>
      </c>
    </row>
    <row r="3795" spans="1:21" x14ac:dyDescent="0.3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  <c r="U3795">
        <f>IF(ChurnData[[#This Row],[churn]]="yes",1,0)</f>
        <v>0</v>
      </c>
    </row>
    <row r="3796" spans="1:21" x14ac:dyDescent="0.3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  <c r="U3796">
        <f>IF(ChurnData[[#This Row],[churn]]="yes",1,0)</f>
        <v>0</v>
      </c>
    </row>
    <row r="3797" spans="1:21" x14ac:dyDescent="0.3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  <c r="U3797">
        <f>IF(ChurnData[[#This Row],[churn]]="yes",1,0)</f>
        <v>0</v>
      </c>
    </row>
    <row r="3798" spans="1:21" x14ac:dyDescent="0.3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  <c r="U3798">
        <f>IF(ChurnData[[#This Row],[churn]]="yes",1,0)</f>
        <v>0</v>
      </c>
    </row>
    <row r="3799" spans="1:21" x14ac:dyDescent="0.3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  <c r="U3799">
        <f>IF(ChurnData[[#This Row],[churn]]="yes",1,0)</f>
        <v>0</v>
      </c>
    </row>
    <row r="3800" spans="1:21" x14ac:dyDescent="0.3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  <c r="U3800">
        <f>IF(ChurnData[[#This Row],[churn]]="yes",1,0)</f>
        <v>0</v>
      </c>
    </row>
    <row r="3801" spans="1:21" x14ac:dyDescent="0.3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  <c r="U3801">
        <f>IF(ChurnData[[#This Row],[churn]]="yes",1,0)</f>
        <v>0</v>
      </c>
    </row>
    <row r="3802" spans="1:21" x14ac:dyDescent="0.3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  <c r="U3802">
        <f>IF(ChurnData[[#This Row],[churn]]="yes",1,0)</f>
        <v>0</v>
      </c>
    </row>
    <row r="3803" spans="1:21" x14ac:dyDescent="0.3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  <c r="U3803">
        <f>IF(ChurnData[[#This Row],[churn]]="yes",1,0)</f>
        <v>0</v>
      </c>
    </row>
    <row r="3804" spans="1:21" x14ac:dyDescent="0.3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  <c r="U3804">
        <f>IF(ChurnData[[#This Row],[churn]]="yes",1,0)</f>
        <v>0</v>
      </c>
    </row>
    <row r="3805" spans="1:21" x14ac:dyDescent="0.3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  <c r="U3805">
        <f>IF(ChurnData[[#This Row],[churn]]="yes",1,0)</f>
        <v>1</v>
      </c>
    </row>
    <row r="3806" spans="1:21" x14ac:dyDescent="0.3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  <c r="U3806">
        <f>IF(ChurnData[[#This Row],[churn]]="yes",1,0)</f>
        <v>1</v>
      </c>
    </row>
    <row r="3807" spans="1:21" x14ac:dyDescent="0.3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  <c r="U3807">
        <f>IF(ChurnData[[#This Row],[churn]]="yes",1,0)</f>
        <v>0</v>
      </c>
    </row>
    <row r="3808" spans="1:21" x14ac:dyDescent="0.3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  <c r="U3808">
        <f>IF(ChurnData[[#This Row],[churn]]="yes",1,0)</f>
        <v>0</v>
      </c>
    </row>
    <row r="3809" spans="1:21" x14ac:dyDescent="0.3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  <c r="U3809">
        <f>IF(ChurnData[[#This Row],[churn]]="yes",1,0)</f>
        <v>1</v>
      </c>
    </row>
    <row r="3810" spans="1:21" x14ac:dyDescent="0.3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  <c r="U3810">
        <f>IF(ChurnData[[#This Row],[churn]]="yes",1,0)</f>
        <v>0</v>
      </c>
    </row>
    <row r="3811" spans="1:21" x14ac:dyDescent="0.3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  <c r="U3811">
        <f>IF(ChurnData[[#This Row],[churn]]="yes",1,0)</f>
        <v>0</v>
      </c>
    </row>
    <row r="3812" spans="1:21" x14ac:dyDescent="0.3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  <c r="U3812">
        <f>IF(ChurnData[[#This Row],[churn]]="yes",1,0)</f>
        <v>0</v>
      </c>
    </row>
    <row r="3813" spans="1:21" x14ac:dyDescent="0.3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  <c r="U3813">
        <f>IF(ChurnData[[#This Row],[churn]]="yes",1,0)</f>
        <v>0</v>
      </c>
    </row>
    <row r="3814" spans="1:21" x14ac:dyDescent="0.3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  <c r="U3814">
        <f>IF(ChurnData[[#This Row],[churn]]="yes",1,0)</f>
        <v>0</v>
      </c>
    </row>
    <row r="3815" spans="1:21" x14ac:dyDescent="0.3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  <c r="U3815">
        <f>IF(ChurnData[[#This Row],[churn]]="yes",1,0)</f>
        <v>0</v>
      </c>
    </row>
    <row r="3816" spans="1:21" x14ac:dyDescent="0.3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  <c r="U3816">
        <f>IF(ChurnData[[#This Row],[churn]]="yes",1,0)</f>
        <v>0</v>
      </c>
    </row>
    <row r="3817" spans="1:21" x14ac:dyDescent="0.3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  <c r="U3817">
        <f>IF(ChurnData[[#This Row],[churn]]="yes",1,0)</f>
        <v>0</v>
      </c>
    </row>
    <row r="3818" spans="1:21" x14ac:dyDescent="0.3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  <c r="U3818">
        <f>IF(ChurnData[[#This Row],[churn]]="yes",1,0)</f>
        <v>1</v>
      </c>
    </row>
    <row r="3819" spans="1:21" x14ac:dyDescent="0.3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  <c r="U3819">
        <f>IF(ChurnData[[#This Row],[churn]]="yes",1,0)</f>
        <v>0</v>
      </c>
    </row>
    <row r="3820" spans="1:21" x14ac:dyDescent="0.3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  <c r="U3820">
        <f>IF(ChurnData[[#This Row],[churn]]="yes",1,0)</f>
        <v>0</v>
      </c>
    </row>
    <row r="3821" spans="1:21" x14ac:dyDescent="0.3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  <c r="U3821">
        <f>IF(ChurnData[[#This Row],[churn]]="yes",1,0)</f>
        <v>1</v>
      </c>
    </row>
    <row r="3822" spans="1:21" x14ac:dyDescent="0.3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  <c r="U3822">
        <f>IF(ChurnData[[#This Row],[churn]]="yes",1,0)</f>
        <v>0</v>
      </c>
    </row>
    <row r="3823" spans="1:21" x14ac:dyDescent="0.3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  <c r="U3823">
        <f>IF(ChurnData[[#This Row],[churn]]="yes",1,0)</f>
        <v>0</v>
      </c>
    </row>
    <row r="3824" spans="1:21" x14ac:dyDescent="0.3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  <c r="U3824">
        <f>IF(ChurnData[[#This Row],[churn]]="yes",1,0)</f>
        <v>0</v>
      </c>
    </row>
    <row r="3825" spans="1:21" x14ac:dyDescent="0.3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  <c r="U3825">
        <f>IF(ChurnData[[#This Row],[churn]]="yes",1,0)</f>
        <v>0</v>
      </c>
    </row>
    <row r="3826" spans="1:21" x14ac:dyDescent="0.3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  <c r="U3826">
        <f>IF(ChurnData[[#This Row],[churn]]="yes",1,0)</f>
        <v>0</v>
      </c>
    </row>
    <row r="3827" spans="1:21" x14ac:dyDescent="0.3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  <c r="U3827">
        <f>IF(ChurnData[[#This Row],[churn]]="yes",1,0)</f>
        <v>1</v>
      </c>
    </row>
    <row r="3828" spans="1:21" x14ac:dyDescent="0.3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  <c r="U3828">
        <f>IF(ChurnData[[#This Row],[churn]]="yes",1,0)</f>
        <v>0</v>
      </c>
    </row>
    <row r="3829" spans="1:21" x14ac:dyDescent="0.3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  <c r="U3829">
        <f>IF(ChurnData[[#This Row],[churn]]="yes",1,0)</f>
        <v>0</v>
      </c>
    </row>
    <row r="3830" spans="1:21" x14ac:dyDescent="0.3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  <c r="U3830">
        <f>IF(ChurnData[[#This Row],[churn]]="yes",1,0)</f>
        <v>0</v>
      </c>
    </row>
    <row r="3831" spans="1:21" x14ac:dyDescent="0.3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  <c r="U3831">
        <f>IF(ChurnData[[#This Row],[churn]]="yes",1,0)</f>
        <v>0</v>
      </c>
    </row>
    <row r="3832" spans="1:21" x14ac:dyDescent="0.3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  <c r="U3832">
        <f>IF(ChurnData[[#This Row],[churn]]="yes",1,0)</f>
        <v>0</v>
      </c>
    </row>
    <row r="3833" spans="1:21" x14ac:dyDescent="0.3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  <c r="U3833">
        <f>IF(ChurnData[[#This Row],[churn]]="yes",1,0)</f>
        <v>0</v>
      </c>
    </row>
    <row r="3834" spans="1:21" x14ac:dyDescent="0.3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  <c r="U3834">
        <f>IF(ChurnData[[#This Row],[churn]]="yes",1,0)</f>
        <v>0</v>
      </c>
    </row>
    <row r="3835" spans="1:21" x14ac:dyDescent="0.3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  <c r="U3835">
        <f>IF(ChurnData[[#This Row],[churn]]="yes",1,0)</f>
        <v>0</v>
      </c>
    </row>
    <row r="3836" spans="1:21" x14ac:dyDescent="0.3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  <c r="U3836">
        <f>IF(ChurnData[[#This Row],[churn]]="yes",1,0)</f>
        <v>0</v>
      </c>
    </row>
    <row r="3837" spans="1:21" x14ac:dyDescent="0.3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  <c r="U3837">
        <f>IF(ChurnData[[#This Row],[churn]]="yes",1,0)</f>
        <v>0</v>
      </c>
    </row>
    <row r="3838" spans="1:21" x14ac:dyDescent="0.3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  <c r="U3838">
        <f>IF(ChurnData[[#This Row],[churn]]="yes",1,0)</f>
        <v>0</v>
      </c>
    </row>
    <row r="3839" spans="1:21" x14ac:dyDescent="0.3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  <c r="U3839">
        <f>IF(ChurnData[[#This Row],[churn]]="yes",1,0)</f>
        <v>0</v>
      </c>
    </row>
    <row r="3840" spans="1:21" x14ac:dyDescent="0.3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  <c r="U3840">
        <f>IF(ChurnData[[#This Row],[churn]]="yes",1,0)</f>
        <v>0</v>
      </c>
    </row>
    <row r="3841" spans="1:21" x14ac:dyDescent="0.3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  <c r="U3841">
        <f>IF(ChurnData[[#This Row],[churn]]="yes",1,0)</f>
        <v>0</v>
      </c>
    </row>
    <row r="3842" spans="1:21" x14ac:dyDescent="0.3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  <c r="U3842">
        <f>IF(ChurnData[[#This Row],[churn]]="yes",1,0)</f>
        <v>0</v>
      </c>
    </row>
    <row r="3843" spans="1:21" x14ac:dyDescent="0.3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  <c r="U3843">
        <f>IF(ChurnData[[#This Row],[churn]]="yes",1,0)</f>
        <v>0</v>
      </c>
    </row>
    <row r="3844" spans="1:21" x14ac:dyDescent="0.3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  <c r="U3844">
        <f>IF(ChurnData[[#This Row],[churn]]="yes",1,0)</f>
        <v>0</v>
      </c>
    </row>
    <row r="3845" spans="1:21" x14ac:dyDescent="0.3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  <c r="U3845">
        <f>IF(ChurnData[[#This Row],[churn]]="yes",1,0)</f>
        <v>0</v>
      </c>
    </row>
    <row r="3846" spans="1:21" x14ac:dyDescent="0.3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  <c r="U3846">
        <f>IF(ChurnData[[#This Row],[churn]]="yes",1,0)</f>
        <v>0</v>
      </c>
    </row>
    <row r="3847" spans="1:21" x14ac:dyDescent="0.3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  <c r="U3847">
        <f>IF(ChurnData[[#This Row],[churn]]="yes",1,0)</f>
        <v>0</v>
      </c>
    </row>
    <row r="3848" spans="1:21" x14ac:dyDescent="0.3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  <c r="U3848">
        <f>IF(ChurnData[[#This Row],[churn]]="yes",1,0)</f>
        <v>0</v>
      </c>
    </row>
    <row r="3849" spans="1:21" x14ac:dyDescent="0.3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  <c r="U3849">
        <f>IF(ChurnData[[#This Row],[churn]]="yes",1,0)</f>
        <v>1</v>
      </c>
    </row>
    <row r="3850" spans="1:21" x14ac:dyDescent="0.3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  <c r="U3850">
        <f>IF(ChurnData[[#This Row],[churn]]="yes",1,0)</f>
        <v>0</v>
      </c>
    </row>
    <row r="3851" spans="1:21" x14ac:dyDescent="0.3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  <c r="U3851">
        <f>IF(ChurnData[[#This Row],[churn]]="yes",1,0)</f>
        <v>0</v>
      </c>
    </row>
    <row r="3852" spans="1:21" x14ac:dyDescent="0.3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  <c r="U3852">
        <f>IF(ChurnData[[#This Row],[churn]]="yes",1,0)</f>
        <v>0</v>
      </c>
    </row>
    <row r="3853" spans="1:21" x14ac:dyDescent="0.3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  <c r="U3853">
        <f>IF(ChurnData[[#This Row],[churn]]="yes",1,0)</f>
        <v>0</v>
      </c>
    </row>
    <row r="3854" spans="1:21" x14ac:dyDescent="0.3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  <c r="U3854">
        <f>IF(ChurnData[[#This Row],[churn]]="yes",1,0)</f>
        <v>0</v>
      </c>
    </row>
    <row r="3855" spans="1:21" x14ac:dyDescent="0.3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  <c r="U3855">
        <f>IF(ChurnData[[#This Row],[churn]]="yes",1,0)</f>
        <v>0</v>
      </c>
    </row>
    <row r="3856" spans="1:21" x14ac:dyDescent="0.3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  <c r="U3856">
        <f>IF(ChurnData[[#This Row],[churn]]="yes",1,0)</f>
        <v>0</v>
      </c>
    </row>
    <row r="3857" spans="1:21" x14ac:dyDescent="0.3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  <c r="U3857">
        <f>IF(ChurnData[[#This Row],[churn]]="yes",1,0)</f>
        <v>0</v>
      </c>
    </row>
    <row r="3858" spans="1:21" x14ac:dyDescent="0.3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  <c r="U3858">
        <f>IF(ChurnData[[#This Row],[churn]]="yes",1,0)</f>
        <v>0</v>
      </c>
    </row>
    <row r="3859" spans="1:21" x14ac:dyDescent="0.3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  <c r="U3859">
        <f>IF(ChurnData[[#This Row],[churn]]="yes",1,0)</f>
        <v>0</v>
      </c>
    </row>
    <row r="3860" spans="1:21" x14ac:dyDescent="0.3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  <c r="U3860">
        <f>IF(ChurnData[[#This Row],[churn]]="yes",1,0)</f>
        <v>0</v>
      </c>
    </row>
    <row r="3861" spans="1:21" x14ac:dyDescent="0.3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  <c r="U3861">
        <f>IF(ChurnData[[#This Row],[churn]]="yes",1,0)</f>
        <v>0</v>
      </c>
    </row>
    <row r="3862" spans="1:21" x14ac:dyDescent="0.3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  <c r="U3862">
        <f>IF(ChurnData[[#This Row],[churn]]="yes",1,0)</f>
        <v>0</v>
      </c>
    </row>
    <row r="3863" spans="1:21" x14ac:dyDescent="0.3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  <c r="U3863">
        <f>IF(ChurnData[[#This Row],[churn]]="yes",1,0)</f>
        <v>0</v>
      </c>
    </row>
    <row r="3864" spans="1:21" x14ac:dyDescent="0.3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  <c r="U3864">
        <f>IF(ChurnData[[#This Row],[churn]]="yes",1,0)</f>
        <v>0</v>
      </c>
    </row>
    <row r="3865" spans="1:21" x14ac:dyDescent="0.3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  <c r="U3865">
        <f>IF(ChurnData[[#This Row],[churn]]="yes",1,0)</f>
        <v>0</v>
      </c>
    </row>
    <row r="3866" spans="1:21" x14ac:dyDescent="0.3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  <c r="U3866">
        <f>IF(ChurnData[[#This Row],[churn]]="yes",1,0)</f>
        <v>0</v>
      </c>
    </row>
    <row r="3867" spans="1:21" x14ac:dyDescent="0.3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  <c r="U3867">
        <f>IF(ChurnData[[#This Row],[churn]]="yes",1,0)</f>
        <v>0</v>
      </c>
    </row>
    <row r="3868" spans="1:21" x14ac:dyDescent="0.3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  <c r="U3868">
        <f>IF(ChurnData[[#This Row],[churn]]="yes",1,0)</f>
        <v>0</v>
      </c>
    </row>
    <row r="3869" spans="1:21" x14ac:dyDescent="0.3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  <c r="U3869">
        <f>IF(ChurnData[[#This Row],[churn]]="yes",1,0)</f>
        <v>0</v>
      </c>
    </row>
    <row r="3870" spans="1:21" x14ac:dyDescent="0.3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  <c r="U3870">
        <f>IF(ChurnData[[#This Row],[churn]]="yes",1,0)</f>
        <v>0</v>
      </c>
    </row>
    <row r="3871" spans="1:21" x14ac:dyDescent="0.3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  <c r="U3871">
        <f>IF(ChurnData[[#This Row],[churn]]="yes",1,0)</f>
        <v>0</v>
      </c>
    </row>
    <row r="3872" spans="1:21" x14ac:dyDescent="0.3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  <c r="U3872">
        <f>IF(ChurnData[[#This Row],[churn]]="yes",1,0)</f>
        <v>0</v>
      </c>
    </row>
    <row r="3873" spans="1:21" x14ac:dyDescent="0.3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  <c r="U3873">
        <f>IF(ChurnData[[#This Row],[churn]]="yes",1,0)</f>
        <v>1</v>
      </c>
    </row>
    <row r="3874" spans="1:21" x14ac:dyDescent="0.3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  <c r="U3874">
        <f>IF(ChurnData[[#This Row],[churn]]="yes",1,0)</f>
        <v>0</v>
      </c>
    </row>
    <row r="3875" spans="1:21" x14ac:dyDescent="0.3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  <c r="U3875">
        <f>IF(ChurnData[[#This Row],[churn]]="yes",1,0)</f>
        <v>0</v>
      </c>
    </row>
    <row r="3876" spans="1:21" x14ac:dyDescent="0.3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  <c r="U3876">
        <f>IF(ChurnData[[#This Row],[churn]]="yes",1,0)</f>
        <v>0</v>
      </c>
    </row>
    <row r="3877" spans="1:21" x14ac:dyDescent="0.3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  <c r="U3877">
        <f>IF(ChurnData[[#This Row],[churn]]="yes",1,0)</f>
        <v>0</v>
      </c>
    </row>
    <row r="3878" spans="1:21" x14ac:dyDescent="0.3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  <c r="U3878">
        <f>IF(ChurnData[[#This Row],[churn]]="yes",1,0)</f>
        <v>0</v>
      </c>
    </row>
    <row r="3879" spans="1:21" x14ac:dyDescent="0.3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  <c r="U3879">
        <f>IF(ChurnData[[#This Row],[churn]]="yes",1,0)</f>
        <v>1</v>
      </c>
    </row>
    <row r="3880" spans="1:21" x14ac:dyDescent="0.3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  <c r="U3880">
        <f>IF(ChurnData[[#This Row],[churn]]="yes",1,0)</f>
        <v>0</v>
      </c>
    </row>
    <row r="3881" spans="1:21" x14ac:dyDescent="0.3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  <c r="U3881">
        <f>IF(ChurnData[[#This Row],[churn]]="yes",1,0)</f>
        <v>0</v>
      </c>
    </row>
    <row r="3882" spans="1:21" x14ac:dyDescent="0.3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  <c r="U3882">
        <f>IF(ChurnData[[#This Row],[churn]]="yes",1,0)</f>
        <v>0</v>
      </c>
    </row>
    <row r="3883" spans="1:21" x14ac:dyDescent="0.3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  <c r="U3883">
        <f>IF(ChurnData[[#This Row],[churn]]="yes",1,0)</f>
        <v>1</v>
      </c>
    </row>
    <row r="3884" spans="1:21" x14ac:dyDescent="0.3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  <c r="U3884">
        <f>IF(ChurnData[[#This Row],[churn]]="yes",1,0)</f>
        <v>0</v>
      </c>
    </row>
    <row r="3885" spans="1:21" x14ac:dyDescent="0.3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  <c r="U3885">
        <f>IF(ChurnData[[#This Row],[churn]]="yes",1,0)</f>
        <v>0</v>
      </c>
    </row>
    <row r="3886" spans="1:21" x14ac:dyDescent="0.3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  <c r="U3886">
        <f>IF(ChurnData[[#This Row],[churn]]="yes",1,0)</f>
        <v>0</v>
      </c>
    </row>
    <row r="3887" spans="1:21" x14ac:dyDescent="0.3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  <c r="U3887">
        <f>IF(ChurnData[[#This Row],[churn]]="yes",1,0)</f>
        <v>1</v>
      </c>
    </row>
    <row r="3888" spans="1:21" x14ac:dyDescent="0.3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  <c r="U3888">
        <f>IF(ChurnData[[#This Row],[churn]]="yes",1,0)</f>
        <v>0</v>
      </c>
    </row>
    <row r="3889" spans="1:21" x14ac:dyDescent="0.3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  <c r="U3889">
        <f>IF(ChurnData[[#This Row],[churn]]="yes",1,0)</f>
        <v>0</v>
      </c>
    </row>
    <row r="3890" spans="1:21" x14ac:dyDescent="0.3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  <c r="U3890">
        <f>IF(ChurnData[[#This Row],[churn]]="yes",1,0)</f>
        <v>0</v>
      </c>
    </row>
    <row r="3891" spans="1:21" x14ac:dyDescent="0.3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  <c r="U3891">
        <f>IF(ChurnData[[#This Row],[churn]]="yes",1,0)</f>
        <v>0</v>
      </c>
    </row>
    <row r="3892" spans="1:21" x14ac:dyDescent="0.3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  <c r="U3892">
        <f>IF(ChurnData[[#This Row],[churn]]="yes",1,0)</f>
        <v>0</v>
      </c>
    </row>
    <row r="3893" spans="1:21" x14ac:dyDescent="0.3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  <c r="U3893">
        <f>IF(ChurnData[[#This Row],[churn]]="yes",1,0)</f>
        <v>0</v>
      </c>
    </row>
    <row r="3894" spans="1:21" x14ac:dyDescent="0.3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  <c r="U3894">
        <f>IF(ChurnData[[#This Row],[churn]]="yes",1,0)</f>
        <v>0</v>
      </c>
    </row>
    <row r="3895" spans="1:21" x14ac:dyDescent="0.3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  <c r="U3895">
        <f>IF(ChurnData[[#This Row],[churn]]="yes",1,0)</f>
        <v>0</v>
      </c>
    </row>
    <row r="3896" spans="1:21" x14ac:dyDescent="0.3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  <c r="U3896">
        <f>IF(ChurnData[[#This Row],[churn]]="yes",1,0)</f>
        <v>0</v>
      </c>
    </row>
    <row r="3897" spans="1:21" x14ac:dyDescent="0.3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  <c r="U3897">
        <f>IF(ChurnData[[#This Row],[churn]]="yes",1,0)</f>
        <v>0</v>
      </c>
    </row>
    <row r="3898" spans="1:21" x14ac:dyDescent="0.3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  <c r="U3898">
        <f>IF(ChurnData[[#This Row],[churn]]="yes",1,0)</f>
        <v>0</v>
      </c>
    </row>
    <row r="3899" spans="1:21" x14ac:dyDescent="0.3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  <c r="U3899">
        <f>IF(ChurnData[[#This Row],[churn]]="yes",1,0)</f>
        <v>0</v>
      </c>
    </row>
    <row r="3900" spans="1:21" x14ac:dyDescent="0.3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  <c r="U3900">
        <f>IF(ChurnData[[#This Row],[churn]]="yes",1,0)</f>
        <v>1</v>
      </c>
    </row>
    <row r="3901" spans="1:21" x14ac:dyDescent="0.3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  <c r="U3901">
        <f>IF(ChurnData[[#This Row],[churn]]="yes",1,0)</f>
        <v>0</v>
      </c>
    </row>
    <row r="3902" spans="1:21" x14ac:dyDescent="0.3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  <c r="U3902">
        <f>IF(ChurnData[[#This Row],[churn]]="yes",1,0)</f>
        <v>0</v>
      </c>
    </row>
    <row r="3903" spans="1:21" x14ac:dyDescent="0.3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  <c r="U3903">
        <f>IF(ChurnData[[#This Row],[churn]]="yes",1,0)</f>
        <v>0</v>
      </c>
    </row>
    <row r="3904" spans="1:21" x14ac:dyDescent="0.3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  <c r="U3904">
        <f>IF(ChurnData[[#This Row],[churn]]="yes",1,0)</f>
        <v>0</v>
      </c>
    </row>
    <row r="3905" spans="1:21" x14ac:dyDescent="0.3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  <c r="U3905">
        <f>IF(ChurnData[[#This Row],[churn]]="yes",1,0)</f>
        <v>1</v>
      </c>
    </row>
    <row r="3906" spans="1:21" x14ac:dyDescent="0.3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  <c r="U3906">
        <f>IF(ChurnData[[#This Row],[churn]]="yes",1,0)</f>
        <v>0</v>
      </c>
    </row>
    <row r="3907" spans="1:21" x14ac:dyDescent="0.3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  <c r="U3907">
        <f>IF(ChurnData[[#This Row],[churn]]="yes",1,0)</f>
        <v>1</v>
      </c>
    </row>
    <row r="3908" spans="1:21" x14ac:dyDescent="0.3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  <c r="U3908">
        <f>IF(ChurnData[[#This Row],[churn]]="yes",1,0)</f>
        <v>0</v>
      </c>
    </row>
    <row r="3909" spans="1:21" x14ac:dyDescent="0.3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  <c r="U3909">
        <f>IF(ChurnData[[#This Row],[churn]]="yes",1,0)</f>
        <v>0</v>
      </c>
    </row>
    <row r="3910" spans="1:21" x14ac:dyDescent="0.3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  <c r="U3910">
        <f>IF(ChurnData[[#This Row],[churn]]="yes",1,0)</f>
        <v>0</v>
      </c>
    </row>
    <row r="3911" spans="1:21" x14ac:dyDescent="0.3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  <c r="U3911">
        <f>IF(ChurnData[[#This Row],[churn]]="yes",1,0)</f>
        <v>0</v>
      </c>
    </row>
    <row r="3912" spans="1:21" x14ac:dyDescent="0.3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  <c r="U3912">
        <f>IF(ChurnData[[#This Row],[churn]]="yes",1,0)</f>
        <v>0</v>
      </c>
    </row>
    <row r="3913" spans="1:21" x14ac:dyDescent="0.3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  <c r="U3913">
        <f>IF(ChurnData[[#This Row],[churn]]="yes",1,0)</f>
        <v>0</v>
      </c>
    </row>
    <row r="3914" spans="1:21" x14ac:dyDescent="0.3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  <c r="U3914">
        <f>IF(ChurnData[[#This Row],[churn]]="yes",1,0)</f>
        <v>0</v>
      </c>
    </row>
    <row r="3915" spans="1:21" x14ac:dyDescent="0.3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  <c r="U3915">
        <f>IF(ChurnData[[#This Row],[churn]]="yes",1,0)</f>
        <v>0</v>
      </c>
    </row>
    <row r="3916" spans="1:21" x14ac:dyDescent="0.3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  <c r="U3916">
        <f>IF(ChurnData[[#This Row],[churn]]="yes",1,0)</f>
        <v>0</v>
      </c>
    </row>
    <row r="3917" spans="1:21" x14ac:dyDescent="0.3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  <c r="U3917">
        <f>IF(ChurnData[[#This Row],[churn]]="yes",1,0)</f>
        <v>0</v>
      </c>
    </row>
    <row r="3918" spans="1:21" x14ac:dyDescent="0.3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  <c r="U3918">
        <f>IF(ChurnData[[#This Row],[churn]]="yes",1,0)</f>
        <v>0</v>
      </c>
    </row>
    <row r="3919" spans="1:21" x14ac:dyDescent="0.3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  <c r="U3919">
        <f>IF(ChurnData[[#This Row],[churn]]="yes",1,0)</f>
        <v>0</v>
      </c>
    </row>
    <row r="3920" spans="1:21" x14ac:dyDescent="0.3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  <c r="U3920">
        <f>IF(ChurnData[[#This Row],[churn]]="yes",1,0)</f>
        <v>0</v>
      </c>
    </row>
    <row r="3921" spans="1:21" x14ac:dyDescent="0.3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  <c r="U3921">
        <f>IF(ChurnData[[#This Row],[churn]]="yes",1,0)</f>
        <v>0</v>
      </c>
    </row>
    <row r="3922" spans="1:21" x14ac:dyDescent="0.3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  <c r="U3922">
        <f>IF(ChurnData[[#This Row],[churn]]="yes",1,0)</f>
        <v>0</v>
      </c>
    </row>
    <row r="3923" spans="1:21" x14ac:dyDescent="0.3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  <c r="U3923">
        <f>IF(ChurnData[[#This Row],[churn]]="yes",1,0)</f>
        <v>0</v>
      </c>
    </row>
    <row r="3924" spans="1:21" x14ac:dyDescent="0.3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  <c r="U3924">
        <f>IF(ChurnData[[#This Row],[churn]]="yes",1,0)</f>
        <v>0</v>
      </c>
    </row>
    <row r="3925" spans="1:21" x14ac:dyDescent="0.3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  <c r="U3925">
        <f>IF(ChurnData[[#This Row],[churn]]="yes",1,0)</f>
        <v>0</v>
      </c>
    </row>
    <row r="3926" spans="1:21" x14ac:dyDescent="0.3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  <c r="U3926">
        <f>IF(ChurnData[[#This Row],[churn]]="yes",1,0)</f>
        <v>0</v>
      </c>
    </row>
    <row r="3927" spans="1:21" x14ac:dyDescent="0.3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  <c r="U3927">
        <f>IF(ChurnData[[#This Row],[churn]]="yes",1,0)</f>
        <v>0</v>
      </c>
    </row>
    <row r="3928" spans="1:21" x14ac:dyDescent="0.3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  <c r="U3928">
        <f>IF(ChurnData[[#This Row],[churn]]="yes",1,0)</f>
        <v>0</v>
      </c>
    </row>
    <row r="3929" spans="1:21" x14ac:dyDescent="0.3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  <c r="U3929">
        <f>IF(ChurnData[[#This Row],[churn]]="yes",1,0)</f>
        <v>1</v>
      </c>
    </row>
    <row r="3930" spans="1:21" x14ac:dyDescent="0.3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  <c r="U3930">
        <f>IF(ChurnData[[#This Row],[churn]]="yes",1,0)</f>
        <v>0</v>
      </c>
    </row>
    <row r="3931" spans="1:21" x14ac:dyDescent="0.3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  <c r="U3931">
        <f>IF(ChurnData[[#This Row],[churn]]="yes",1,0)</f>
        <v>0</v>
      </c>
    </row>
    <row r="3932" spans="1:21" x14ac:dyDescent="0.3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  <c r="U3932">
        <f>IF(ChurnData[[#This Row],[churn]]="yes",1,0)</f>
        <v>0</v>
      </c>
    </row>
    <row r="3933" spans="1:21" x14ac:dyDescent="0.3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  <c r="U3933">
        <f>IF(ChurnData[[#This Row],[churn]]="yes",1,0)</f>
        <v>1</v>
      </c>
    </row>
    <row r="3934" spans="1:21" x14ac:dyDescent="0.3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  <c r="U3934">
        <f>IF(ChurnData[[#This Row],[churn]]="yes",1,0)</f>
        <v>0</v>
      </c>
    </row>
    <row r="3935" spans="1:21" x14ac:dyDescent="0.3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  <c r="U3935">
        <f>IF(ChurnData[[#This Row],[churn]]="yes",1,0)</f>
        <v>0</v>
      </c>
    </row>
    <row r="3936" spans="1:21" x14ac:dyDescent="0.3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  <c r="U3936">
        <f>IF(ChurnData[[#This Row],[churn]]="yes",1,0)</f>
        <v>0</v>
      </c>
    </row>
    <row r="3937" spans="1:21" x14ac:dyDescent="0.3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  <c r="U3937">
        <f>IF(ChurnData[[#This Row],[churn]]="yes",1,0)</f>
        <v>0</v>
      </c>
    </row>
    <row r="3938" spans="1:21" x14ac:dyDescent="0.3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  <c r="U3938">
        <f>IF(ChurnData[[#This Row],[churn]]="yes",1,0)</f>
        <v>0</v>
      </c>
    </row>
    <row r="3939" spans="1:21" x14ac:dyDescent="0.3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  <c r="U3939">
        <f>IF(ChurnData[[#This Row],[churn]]="yes",1,0)</f>
        <v>0</v>
      </c>
    </row>
    <row r="3940" spans="1:21" x14ac:dyDescent="0.3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  <c r="U3940">
        <f>IF(ChurnData[[#This Row],[churn]]="yes",1,0)</f>
        <v>0</v>
      </c>
    </row>
    <row r="3941" spans="1:21" x14ac:dyDescent="0.3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  <c r="U3941">
        <f>IF(ChurnData[[#This Row],[churn]]="yes",1,0)</f>
        <v>1</v>
      </c>
    </row>
    <row r="3942" spans="1:21" x14ac:dyDescent="0.3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  <c r="U3942">
        <f>IF(ChurnData[[#This Row],[churn]]="yes",1,0)</f>
        <v>1</v>
      </c>
    </row>
    <row r="3943" spans="1:21" x14ac:dyDescent="0.3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  <c r="U3943">
        <f>IF(ChurnData[[#This Row],[churn]]="yes",1,0)</f>
        <v>0</v>
      </c>
    </row>
    <row r="3944" spans="1:21" x14ac:dyDescent="0.3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  <c r="U3944">
        <f>IF(ChurnData[[#This Row],[churn]]="yes",1,0)</f>
        <v>0</v>
      </c>
    </row>
    <row r="3945" spans="1:21" x14ac:dyDescent="0.3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  <c r="U3945">
        <f>IF(ChurnData[[#This Row],[churn]]="yes",1,0)</f>
        <v>1</v>
      </c>
    </row>
    <row r="3946" spans="1:21" x14ac:dyDescent="0.3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  <c r="U3946">
        <f>IF(ChurnData[[#This Row],[churn]]="yes",1,0)</f>
        <v>0</v>
      </c>
    </row>
    <row r="3947" spans="1:21" x14ac:dyDescent="0.3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  <c r="U3947">
        <f>IF(ChurnData[[#This Row],[churn]]="yes",1,0)</f>
        <v>0</v>
      </c>
    </row>
    <row r="3948" spans="1:21" x14ac:dyDescent="0.3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  <c r="U3948">
        <f>IF(ChurnData[[#This Row],[churn]]="yes",1,0)</f>
        <v>0</v>
      </c>
    </row>
    <row r="3949" spans="1:21" x14ac:dyDescent="0.3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  <c r="U3949">
        <f>IF(ChurnData[[#This Row],[churn]]="yes",1,0)</f>
        <v>0</v>
      </c>
    </row>
    <row r="3950" spans="1:21" x14ac:dyDescent="0.3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  <c r="U3950">
        <f>IF(ChurnData[[#This Row],[churn]]="yes",1,0)</f>
        <v>0</v>
      </c>
    </row>
    <row r="3951" spans="1:21" x14ac:dyDescent="0.3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  <c r="U3951">
        <f>IF(ChurnData[[#This Row],[churn]]="yes",1,0)</f>
        <v>0</v>
      </c>
    </row>
    <row r="3952" spans="1:21" x14ac:dyDescent="0.3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  <c r="U3952">
        <f>IF(ChurnData[[#This Row],[churn]]="yes",1,0)</f>
        <v>1</v>
      </c>
    </row>
    <row r="3953" spans="1:21" x14ac:dyDescent="0.3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  <c r="U3953">
        <f>IF(ChurnData[[#This Row],[churn]]="yes",1,0)</f>
        <v>0</v>
      </c>
    </row>
    <row r="3954" spans="1:21" x14ac:dyDescent="0.3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  <c r="U3954">
        <f>IF(ChurnData[[#This Row],[churn]]="yes",1,0)</f>
        <v>0</v>
      </c>
    </row>
    <row r="3955" spans="1:21" x14ac:dyDescent="0.3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  <c r="U3955">
        <f>IF(ChurnData[[#This Row],[churn]]="yes",1,0)</f>
        <v>0</v>
      </c>
    </row>
    <row r="3956" spans="1:21" x14ac:dyDescent="0.3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  <c r="U3956">
        <f>IF(ChurnData[[#This Row],[churn]]="yes",1,0)</f>
        <v>0</v>
      </c>
    </row>
    <row r="3957" spans="1:21" x14ac:dyDescent="0.3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  <c r="U3957">
        <f>IF(ChurnData[[#This Row],[churn]]="yes",1,0)</f>
        <v>0</v>
      </c>
    </row>
    <row r="3958" spans="1:21" x14ac:dyDescent="0.3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  <c r="U3958">
        <f>IF(ChurnData[[#This Row],[churn]]="yes",1,0)</f>
        <v>0</v>
      </c>
    </row>
    <row r="3959" spans="1:21" x14ac:dyDescent="0.3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  <c r="U3959">
        <f>IF(ChurnData[[#This Row],[churn]]="yes",1,0)</f>
        <v>0</v>
      </c>
    </row>
    <row r="3960" spans="1:21" x14ac:dyDescent="0.3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  <c r="U3960">
        <f>IF(ChurnData[[#This Row],[churn]]="yes",1,0)</f>
        <v>1</v>
      </c>
    </row>
    <row r="3961" spans="1:21" x14ac:dyDescent="0.3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  <c r="U3961">
        <f>IF(ChurnData[[#This Row],[churn]]="yes",1,0)</f>
        <v>0</v>
      </c>
    </row>
    <row r="3962" spans="1:21" x14ac:dyDescent="0.3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  <c r="U3962">
        <f>IF(ChurnData[[#This Row],[churn]]="yes",1,0)</f>
        <v>0</v>
      </c>
    </row>
    <row r="3963" spans="1:21" x14ac:dyDescent="0.3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  <c r="U3963">
        <f>IF(ChurnData[[#This Row],[churn]]="yes",1,0)</f>
        <v>0</v>
      </c>
    </row>
    <row r="3964" spans="1:21" x14ac:dyDescent="0.3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  <c r="U3964">
        <f>IF(ChurnData[[#This Row],[churn]]="yes",1,0)</f>
        <v>0</v>
      </c>
    </row>
    <row r="3965" spans="1:21" x14ac:dyDescent="0.3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  <c r="U3965">
        <f>IF(ChurnData[[#This Row],[churn]]="yes",1,0)</f>
        <v>0</v>
      </c>
    </row>
    <row r="3966" spans="1:21" x14ac:dyDescent="0.3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  <c r="U3966">
        <f>IF(ChurnData[[#This Row],[churn]]="yes",1,0)</f>
        <v>0</v>
      </c>
    </row>
    <row r="3967" spans="1:21" x14ac:dyDescent="0.3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  <c r="U3967">
        <f>IF(ChurnData[[#This Row],[churn]]="yes",1,0)</f>
        <v>0</v>
      </c>
    </row>
    <row r="3968" spans="1:21" x14ac:dyDescent="0.3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  <c r="U3968">
        <f>IF(ChurnData[[#This Row],[churn]]="yes",1,0)</f>
        <v>0</v>
      </c>
    </row>
    <row r="3969" spans="1:21" x14ac:dyDescent="0.3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  <c r="U3969">
        <f>IF(ChurnData[[#This Row],[churn]]="yes",1,0)</f>
        <v>0</v>
      </c>
    </row>
    <row r="3970" spans="1:21" x14ac:dyDescent="0.3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  <c r="U3970">
        <f>IF(ChurnData[[#This Row],[churn]]="yes",1,0)</f>
        <v>0</v>
      </c>
    </row>
    <row r="3971" spans="1:21" x14ac:dyDescent="0.3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  <c r="U3971">
        <f>IF(ChurnData[[#This Row],[churn]]="yes",1,0)</f>
        <v>0</v>
      </c>
    </row>
    <row r="3972" spans="1:21" x14ac:dyDescent="0.3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  <c r="U3972">
        <f>IF(ChurnData[[#This Row],[churn]]="yes",1,0)</f>
        <v>0</v>
      </c>
    </row>
    <row r="3973" spans="1:21" x14ac:dyDescent="0.3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  <c r="U3973">
        <f>IF(ChurnData[[#This Row],[churn]]="yes",1,0)</f>
        <v>0</v>
      </c>
    </row>
    <row r="3974" spans="1:21" x14ac:dyDescent="0.3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  <c r="U3974">
        <f>IF(ChurnData[[#This Row],[churn]]="yes",1,0)</f>
        <v>0</v>
      </c>
    </row>
    <row r="3975" spans="1:21" x14ac:dyDescent="0.3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  <c r="U3975">
        <f>IF(ChurnData[[#This Row],[churn]]="yes",1,0)</f>
        <v>0</v>
      </c>
    </row>
    <row r="3976" spans="1:21" x14ac:dyDescent="0.3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  <c r="U3976">
        <f>IF(ChurnData[[#This Row],[churn]]="yes",1,0)</f>
        <v>1</v>
      </c>
    </row>
    <row r="3977" spans="1:21" x14ac:dyDescent="0.3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  <c r="U3977">
        <f>IF(ChurnData[[#This Row],[churn]]="yes",1,0)</f>
        <v>0</v>
      </c>
    </row>
    <row r="3978" spans="1:21" x14ac:dyDescent="0.3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  <c r="U3978">
        <f>IF(ChurnData[[#This Row],[churn]]="yes",1,0)</f>
        <v>1</v>
      </c>
    </row>
    <row r="3979" spans="1:21" x14ac:dyDescent="0.3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  <c r="U3979">
        <f>IF(ChurnData[[#This Row],[churn]]="yes",1,0)</f>
        <v>0</v>
      </c>
    </row>
    <row r="3980" spans="1:21" x14ac:dyDescent="0.3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  <c r="U3980">
        <f>IF(ChurnData[[#This Row],[churn]]="yes",1,0)</f>
        <v>0</v>
      </c>
    </row>
    <row r="3981" spans="1:21" x14ac:dyDescent="0.3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  <c r="U3981">
        <f>IF(ChurnData[[#This Row],[churn]]="yes",1,0)</f>
        <v>0</v>
      </c>
    </row>
    <row r="3982" spans="1:21" x14ac:dyDescent="0.3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  <c r="U3982">
        <f>IF(ChurnData[[#This Row],[churn]]="yes",1,0)</f>
        <v>0</v>
      </c>
    </row>
    <row r="3983" spans="1:21" x14ac:dyDescent="0.3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  <c r="U3983">
        <f>IF(ChurnData[[#This Row],[churn]]="yes",1,0)</f>
        <v>1</v>
      </c>
    </row>
    <row r="3984" spans="1:21" x14ac:dyDescent="0.3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  <c r="U3984">
        <f>IF(ChurnData[[#This Row],[churn]]="yes",1,0)</f>
        <v>0</v>
      </c>
    </row>
    <row r="3985" spans="1:21" x14ac:dyDescent="0.3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  <c r="U3985">
        <f>IF(ChurnData[[#This Row],[churn]]="yes",1,0)</f>
        <v>0</v>
      </c>
    </row>
    <row r="3986" spans="1:21" x14ac:dyDescent="0.3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  <c r="U3986">
        <f>IF(ChurnData[[#This Row],[churn]]="yes",1,0)</f>
        <v>0</v>
      </c>
    </row>
    <row r="3987" spans="1:21" x14ac:dyDescent="0.3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  <c r="U3987">
        <f>IF(ChurnData[[#This Row],[churn]]="yes",1,0)</f>
        <v>0</v>
      </c>
    </row>
    <row r="3988" spans="1:21" x14ac:dyDescent="0.3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  <c r="U3988">
        <f>IF(ChurnData[[#This Row],[churn]]="yes",1,0)</f>
        <v>1</v>
      </c>
    </row>
    <row r="3989" spans="1:21" x14ac:dyDescent="0.3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  <c r="U3989">
        <f>IF(ChurnData[[#This Row],[churn]]="yes",1,0)</f>
        <v>0</v>
      </c>
    </row>
    <row r="3990" spans="1:21" x14ac:dyDescent="0.3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  <c r="U3990">
        <f>IF(ChurnData[[#This Row],[churn]]="yes",1,0)</f>
        <v>0</v>
      </c>
    </row>
    <row r="3991" spans="1:21" x14ac:dyDescent="0.3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  <c r="U3991">
        <f>IF(ChurnData[[#This Row],[churn]]="yes",1,0)</f>
        <v>0</v>
      </c>
    </row>
    <row r="3992" spans="1:21" x14ac:dyDescent="0.3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  <c r="U3992">
        <f>IF(ChurnData[[#This Row],[churn]]="yes",1,0)</f>
        <v>0</v>
      </c>
    </row>
    <row r="3993" spans="1:21" x14ac:dyDescent="0.3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  <c r="U3993">
        <f>IF(ChurnData[[#This Row],[churn]]="yes",1,0)</f>
        <v>0</v>
      </c>
    </row>
    <row r="3994" spans="1:21" x14ac:dyDescent="0.3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  <c r="U3994">
        <f>IF(ChurnData[[#This Row],[churn]]="yes",1,0)</f>
        <v>0</v>
      </c>
    </row>
    <row r="3995" spans="1:21" x14ac:dyDescent="0.3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  <c r="U3995">
        <f>IF(ChurnData[[#This Row],[churn]]="yes",1,0)</f>
        <v>0</v>
      </c>
    </row>
    <row r="3996" spans="1:21" x14ac:dyDescent="0.3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  <c r="U3996">
        <f>IF(ChurnData[[#This Row],[churn]]="yes",1,0)</f>
        <v>0</v>
      </c>
    </row>
    <row r="3997" spans="1:21" x14ac:dyDescent="0.3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  <c r="U3997">
        <f>IF(ChurnData[[#This Row],[churn]]="yes",1,0)</f>
        <v>0</v>
      </c>
    </row>
    <row r="3998" spans="1:21" x14ac:dyDescent="0.3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  <c r="U3998">
        <f>IF(ChurnData[[#This Row],[churn]]="yes",1,0)</f>
        <v>0</v>
      </c>
    </row>
    <row r="3999" spans="1:21" x14ac:dyDescent="0.3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  <c r="U3999">
        <f>IF(ChurnData[[#This Row],[churn]]="yes",1,0)</f>
        <v>0</v>
      </c>
    </row>
    <row r="4000" spans="1:21" x14ac:dyDescent="0.3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  <c r="U4000">
        <f>IF(ChurnData[[#This Row],[churn]]="yes",1,0)</f>
        <v>0</v>
      </c>
    </row>
    <row r="4001" spans="1:21" x14ac:dyDescent="0.3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  <c r="U4001">
        <f>IF(ChurnData[[#This Row],[churn]]="yes",1,0)</f>
        <v>0</v>
      </c>
    </row>
    <row r="4002" spans="1:21" x14ac:dyDescent="0.3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  <c r="U4002">
        <f>IF(ChurnData[[#This Row],[churn]]="yes",1,0)</f>
        <v>0</v>
      </c>
    </row>
    <row r="4003" spans="1:21" x14ac:dyDescent="0.3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  <c r="U4003">
        <f>IF(ChurnData[[#This Row],[churn]]="yes",1,0)</f>
        <v>0</v>
      </c>
    </row>
    <row r="4004" spans="1:21" x14ac:dyDescent="0.3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  <c r="U4004">
        <f>IF(ChurnData[[#This Row],[churn]]="yes",1,0)</f>
        <v>0</v>
      </c>
    </row>
    <row r="4005" spans="1:21" x14ac:dyDescent="0.3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  <c r="U4005">
        <f>IF(ChurnData[[#This Row],[churn]]="yes",1,0)</f>
        <v>0</v>
      </c>
    </row>
    <row r="4006" spans="1:21" x14ac:dyDescent="0.3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  <c r="U4006">
        <f>IF(ChurnData[[#This Row],[churn]]="yes",1,0)</f>
        <v>0</v>
      </c>
    </row>
    <row r="4007" spans="1:21" x14ac:dyDescent="0.3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  <c r="U4007">
        <f>IF(ChurnData[[#This Row],[churn]]="yes",1,0)</f>
        <v>0</v>
      </c>
    </row>
    <row r="4008" spans="1:21" x14ac:dyDescent="0.3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  <c r="U4008">
        <f>IF(ChurnData[[#This Row],[churn]]="yes",1,0)</f>
        <v>0</v>
      </c>
    </row>
    <row r="4009" spans="1:21" x14ac:dyDescent="0.3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  <c r="U4009">
        <f>IF(ChurnData[[#This Row],[churn]]="yes",1,0)</f>
        <v>0</v>
      </c>
    </row>
    <row r="4010" spans="1:21" x14ac:dyDescent="0.3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  <c r="U4010">
        <f>IF(ChurnData[[#This Row],[churn]]="yes",1,0)</f>
        <v>0</v>
      </c>
    </row>
    <row r="4011" spans="1:21" x14ac:dyDescent="0.3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  <c r="U4011">
        <f>IF(ChurnData[[#This Row],[churn]]="yes",1,0)</f>
        <v>0</v>
      </c>
    </row>
    <row r="4012" spans="1:21" x14ac:dyDescent="0.3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  <c r="U4012">
        <f>IF(ChurnData[[#This Row],[churn]]="yes",1,0)</f>
        <v>0</v>
      </c>
    </row>
    <row r="4013" spans="1:21" x14ac:dyDescent="0.3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  <c r="U4013">
        <f>IF(ChurnData[[#This Row],[churn]]="yes",1,0)</f>
        <v>1</v>
      </c>
    </row>
    <row r="4014" spans="1:21" x14ac:dyDescent="0.3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  <c r="U4014">
        <f>IF(ChurnData[[#This Row],[churn]]="yes",1,0)</f>
        <v>0</v>
      </c>
    </row>
    <row r="4015" spans="1:21" x14ac:dyDescent="0.3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  <c r="U4015">
        <f>IF(ChurnData[[#This Row],[churn]]="yes",1,0)</f>
        <v>0</v>
      </c>
    </row>
    <row r="4016" spans="1:21" x14ac:dyDescent="0.3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  <c r="U4016">
        <f>IF(ChurnData[[#This Row],[churn]]="yes",1,0)</f>
        <v>0</v>
      </c>
    </row>
    <row r="4017" spans="1:21" x14ac:dyDescent="0.3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  <c r="U4017">
        <f>IF(ChurnData[[#This Row],[churn]]="yes",1,0)</f>
        <v>0</v>
      </c>
    </row>
    <row r="4018" spans="1:21" x14ac:dyDescent="0.3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  <c r="U4018">
        <f>IF(ChurnData[[#This Row],[churn]]="yes",1,0)</f>
        <v>0</v>
      </c>
    </row>
    <row r="4019" spans="1:21" x14ac:dyDescent="0.3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  <c r="U4019">
        <f>IF(ChurnData[[#This Row],[churn]]="yes",1,0)</f>
        <v>0</v>
      </c>
    </row>
    <row r="4020" spans="1:21" x14ac:dyDescent="0.3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  <c r="U4020">
        <f>IF(ChurnData[[#This Row],[churn]]="yes",1,0)</f>
        <v>0</v>
      </c>
    </row>
    <row r="4021" spans="1:21" x14ac:dyDescent="0.3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  <c r="U4021">
        <f>IF(ChurnData[[#This Row],[churn]]="yes",1,0)</f>
        <v>0</v>
      </c>
    </row>
    <row r="4022" spans="1:21" x14ac:dyDescent="0.3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  <c r="U4022">
        <f>IF(ChurnData[[#This Row],[churn]]="yes",1,0)</f>
        <v>0</v>
      </c>
    </row>
    <row r="4023" spans="1:21" x14ac:dyDescent="0.3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  <c r="U4023">
        <f>IF(ChurnData[[#This Row],[churn]]="yes",1,0)</f>
        <v>0</v>
      </c>
    </row>
    <row r="4024" spans="1:21" x14ac:dyDescent="0.3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  <c r="U4024">
        <f>IF(ChurnData[[#This Row],[churn]]="yes",1,0)</f>
        <v>0</v>
      </c>
    </row>
    <row r="4025" spans="1:21" x14ac:dyDescent="0.3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  <c r="U4025">
        <f>IF(ChurnData[[#This Row],[churn]]="yes",1,0)</f>
        <v>1</v>
      </c>
    </row>
    <row r="4026" spans="1:21" x14ac:dyDescent="0.3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  <c r="U4026">
        <f>IF(ChurnData[[#This Row],[churn]]="yes",1,0)</f>
        <v>0</v>
      </c>
    </row>
    <row r="4027" spans="1:21" x14ac:dyDescent="0.3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  <c r="U4027">
        <f>IF(ChurnData[[#This Row],[churn]]="yes",1,0)</f>
        <v>1</v>
      </c>
    </row>
    <row r="4028" spans="1:21" x14ac:dyDescent="0.3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  <c r="U4028">
        <f>IF(ChurnData[[#This Row],[churn]]="yes",1,0)</f>
        <v>0</v>
      </c>
    </row>
    <row r="4029" spans="1:21" x14ac:dyDescent="0.3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  <c r="U4029">
        <f>IF(ChurnData[[#This Row],[churn]]="yes",1,0)</f>
        <v>0</v>
      </c>
    </row>
    <row r="4030" spans="1:21" x14ac:dyDescent="0.3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  <c r="U4030">
        <f>IF(ChurnData[[#This Row],[churn]]="yes",1,0)</f>
        <v>0</v>
      </c>
    </row>
    <row r="4031" spans="1:21" x14ac:dyDescent="0.3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  <c r="U4031">
        <f>IF(ChurnData[[#This Row],[churn]]="yes",1,0)</f>
        <v>0</v>
      </c>
    </row>
    <row r="4032" spans="1:21" x14ac:dyDescent="0.3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  <c r="U4032">
        <f>IF(ChurnData[[#This Row],[churn]]="yes",1,0)</f>
        <v>1</v>
      </c>
    </row>
    <row r="4033" spans="1:21" x14ac:dyDescent="0.3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  <c r="U4033">
        <f>IF(ChurnData[[#This Row],[churn]]="yes",1,0)</f>
        <v>0</v>
      </c>
    </row>
    <row r="4034" spans="1:21" x14ac:dyDescent="0.3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  <c r="U4034">
        <f>IF(ChurnData[[#This Row],[churn]]="yes",1,0)</f>
        <v>0</v>
      </c>
    </row>
    <row r="4035" spans="1:21" x14ac:dyDescent="0.3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  <c r="U4035">
        <f>IF(ChurnData[[#This Row],[churn]]="yes",1,0)</f>
        <v>0</v>
      </c>
    </row>
    <row r="4036" spans="1:21" x14ac:dyDescent="0.3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  <c r="U4036">
        <f>IF(ChurnData[[#This Row],[churn]]="yes",1,0)</f>
        <v>0</v>
      </c>
    </row>
    <row r="4037" spans="1:21" x14ac:dyDescent="0.3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  <c r="U4037">
        <f>IF(ChurnData[[#This Row],[churn]]="yes",1,0)</f>
        <v>0</v>
      </c>
    </row>
    <row r="4038" spans="1:21" x14ac:dyDescent="0.3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  <c r="U4038">
        <f>IF(ChurnData[[#This Row],[churn]]="yes",1,0)</f>
        <v>0</v>
      </c>
    </row>
    <row r="4039" spans="1:21" x14ac:dyDescent="0.3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  <c r="U4039">
        <f>IF(ChurnData[[#This Row],[churn]]="yes",1,0)</f>
        <v>0</v>
      </c>
    </row>
    <row r="4040" spans="1:21" x14ac:dyDescent="0.3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  <c r="U4040">
        <f>IF(ChurnData[[#This Row],[churn]]="yes",1,0)</f>
        <v>0</v>
      </c>
    </row>
    <row r="4041" spans="1:21" x14ac:dyDescent="0.3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  <c r="U4041">
        <f>IF(ChurnData[[#This Row],[churn]]="yes",1,0)</f>
        <v>0</v>
      </c>
    </row>
    <row r="4042" spans="1:21" x14ac:dyDescent="0.3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  <c r="U4042">
        <f>IF(ChurnData[[#This Row],[churn]]="yes",1,0)</f>
        <v>0</v>
      </c>
    </row>
    <row r="4043" spans="1:21" x14ac:dyDescent="0.3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  <c r="U4043">
        <f>IF(ChurnData[[#This Row],[churn]]="yes",1,0)</f>
        <v>0</v>
      </c>
    </row>
    <row r="4044" spans="1:21" x14ac:dyDescent="0.3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  <c r="U4044">
        <f>IF(ChurnData[[#This Row],[churn]]="yes",1,0)</f>
        <v>0</v>
      </c>
    </row>
    <row r="4045" spans="1:21" x14ac:dyDescent="0.3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  <c r="U4045">
        <f>IF(ChurnData[[#This Row],[churn]]="yes",1,0)</f>
        <v>0</v>
      </c>
    </row>
    <row r="4046" spans="1:21" x14ac:dyDescent="0.3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  <c r="U4046">
        <f>IF(ChurnData[[#This Row],[churn]]="yes",1,0)</f>
        <v>0</v>
      </c>
    </row>
    <row r="4047" spans="1:21" x14ac:dyDescent="0.3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  <c r="U4047">
        <f>IF(ChurnData[[#This Row],[churn]]="yes",1,0)</f>
        <v>0</v>
      </c>
    </row>
    <row r="4048" spans="1:21" x14ac:dyDescent="0.3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  <c r="U4048">
        <f>IF(ChurnData[[#This Row],[churn]]="yes",1,0)</f>
        <v>0</v>
      </c>
    </row>
    <row r="4049" spans="1:21" x14ac:dyDescent="0.3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  <c r="U4049">
        <f>IF(ChurnData[[#This Row],[churn]]="yes",1,0)</f>
        <v>0</v>
      </c>
    </row>
    <row r="4050" spans="1:21" x14ac:dyDescent="0.3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  <c r="U4050">
        <f>IF(ChurnData[[#This Row],[churn]]="yes",1,0)</f>
        <v>0</v>
      </c>
    </row>
    <row r="4051" spans="1:21" x14ac:dyDescent="0.3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  <c r="U4051">
        <f>IF(ChurnData[[#This Row],[churn]]="yes",1,0)</f>
        <v>0</v>
      </c>
    </row>
    <row r="4052" spans="1:21" x14ac:dyDescent="0.3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  <c r="U4052">
        <f>IF(ChurnData[[#This Row],[churn]]="yes",1,0)</f>
        <v>0</v>
      </c>
    </row>
    <row r="4053" spans="1:21" x14ac:dyDescent="0.3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  <c r="U4053">
        <f>IF(ChurnData[[#This Row],[churn]]="yes",1,0)</f>
        <v>0</v>
      </c>
    </row>
    <row r="4054" spans="1:21" x14ac:dyDescent="0.3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  <c r="U4054">
        <f>IF(ChurnData[[#This Row],[churn]]="yes",1,0)</f>
        <v>0</v>
      </c>
    </row>
    <row r="4055" spans="1:21" x14ac:dyDescent="0.3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  <c r="U4055">
        <f>IF(ChurnData[[#This Row],[churn]]="yes",1,0)</f>
        <v>0</v>
      </c>
    </row>
    <row r="4056" spans="1:21" x14ac:dyDescent="0.3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  <c r="U4056">
        <f>IF(ChurnData[[#This Row],[churn]]="yes",1,0)</f>
        <v>0</v>
      </c>
    </row>
    <row r="4057" spans="1:21" x14ac:dyDescent="0.3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  <c r="U4057">
        <f>IF(ChurnData[[#This Row],[churn]]="yes",1,0)</f>
        <v>0</v>
      </c>
    </row>
    <row r="4058" spans="1:21" x14ac:dyDescent="0.3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  <c r="U4058">
        <f>IF(ChurnData[[#This Row],[churn]]="yes",1,0)</f>
        <v>1</v>
      </c>
    </row>
    <row r="4059" spans="1:21" x14ac:dyDescent="0.3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  <c r="U4059">
        <f>IF(ChurnData[[#This Row],[churn]]="yes",1,0)</f>
        <v>1</v>
      </c>
    </row>
    <row r="4060" spans="1:21" x14ac:dyDescent="0.3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  <c r="U4060">
        <f>IF(ChurnData[[#This Row],[churn]]="yes",1,0)</f>
        <v>0</v>
      </c>
    </row>
    <row r="4061" spans="1:21" x14ac:dyDescent="0.3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  <c r="U4061">
        <f>IF(ChurnData[[#This Row],[churn]]="yes",1,0)</f>
        <v>0</v>
      </c>
    </row>
    <row r="4062" spans="1:21" x14ac:dyDescent="0.3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  <c r="U4062">
        <f>IF(ChurnData[[#This Row],[churn]]="yes",1,0)</f>
        <v>1</v>
      </c>
    </row>
    <row r="4063" spans="1:21" x14ac:dyDescent="0.3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  <c r="U4063">
        <f>IF(ChurnData[[#This Row],[churn]]="yes",1,0)</f>
        <v>1</v>
      </c>
    </row>
    <row r="4064" spans="1:21" x14ac:dyDescent="0.3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  <c r="U4064">
        <f>IF(ChurnData[[#This Row],[churn]]="yes",1,0)</f>
        <v>0</v>
      </c>
    </row>
    <row r="4065" spans="1:21" x14ac:dyDescent="0.3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  <c r="U4065">
        <f>IF(ChurnData[[#This Row],[churn]]="yes",1,0)</f>
        <v>0</v>
      </c>
    </row>
    <row r="4066" spans="1:21" x14ac:dyDescent="0.3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  <c r="U4066">
        <f>IF(ChurnData[[#This Row],[churn]]="yes",1,0)</f>
        <v>0</v>
      </c>
    </row>
    <row r="4067" spans="1:21" x14ac:dyDescent="0.3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  <c r="U4067">
        <f>IF(ChurnData[[#This Row],[churn]]="yes",1,0)</f>
        <v>0</v>
      </c>
    </row>
    <row r="4068" spans="1:21" x14ac:dyDescent="0.3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  <c r="U4068">
        <f>IF(ChurnData[[#This Row],[churn]]="yes",1,0)</f>
        <v>0</v>
      </c>
    </row>
    <row r="4069" spans="1:21" x14ac:dyDescent="0.3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  <c r="U4069">
        <f>IF(ChurnData[[#This Row],[churn]]="yes",1,0)</f>
        <v>0</v>
      </c>
    </row>
    <row r="4070" spans="1:21" x14ac:dyDescent="0.3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  <c r="U4070">
        <f>IF(ChurnData[[#This Row],[churn]]="yes",1,0)</f>
        <v>0</v>
      </c>
    </row>
    <row r="4071" spans="1:21" x14ac:dyDescent="0.3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  <c r="U4071">
        <f>IF(ChurnData[[#This Row],[churn]]="yes",1,0)</f>
        <v>0</v>
      </c>
    </row>
    <row r="4072" spans="1:21" x14ac:dyDescent="0.3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  <c r="U4072">
        <f>IF(ChurnData[[#This Row],[churn]]="yes",1,0)</f>
        <v>0</v>
      </c>
    </row>
    <row r="4073" spans="1:21" x14ac:dyDescent="0.3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  <c r="U4073">
        <f>IF(ChurnData[[#This Row],[churn]]="yes",1,0)</f>
        <v>1</v>
      </c>
    </row>
    <row r="4074" spans="1:21" x14ac:dyDescent="0.3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  <c r="U4074">
        <f>IF(ChurnData[[#This Row],[churn]]="yes",1,0)</f>
        <v>0</v>
      </c>
    </row>
    <row r="4075" spans="1:21" x14ac:dyDescent="0.3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  <c r="U4075">
        <f>IF(ChurnData[[#This Row],[churn]]="yes",1,0)</f>
        <v>0</v>
      </c>
    </row>
    <row r="4076" spans="1:21" x14ac:dyDescent="0.3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  <c r="U4076">
        <f>IF(ChurnData[[#This Row],[churn]]="yes",1,0)</f>
        <v>0</v>
      </c>
    </row>
    <row r="4077" spans="1:21" x14ac:dyDescent="0.3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  <c r="U4077">
        <f>IF(ChurnData[[#This Row],[churn]]="yes",1,0)</f>
        <v>0</v>
      </c>
    </row>
    <row r="4078" spans="1:21" x14ac:dyDescent="0.3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  <c r="U4078">
        <f>IF(ChurnData[[#This Row],[churn]]="yes",1,0)</f>
        <v>0</v>
      </c>
    </row>
    <row r="4079" spans="1:21" x14ac:dyDescent="0.3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  <c r="U4079">
        <f>IF(ChurnData[[#This Row],[churn]]="yes",1,0)</f>
        <v>0</v>
      </c>
    </row>
    <row r="4080" spans="1:21" x14ac:dyDescent="0.3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  <c r="U4080">
        <f>IF(ChurnData[[#This Row],[churn]]="yes",1,0)</f>
        <v>0</v>
      </c>
    </row>
    <row r="4081" spans="1:21" x14ac:dyDescent="0.3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  <c r="U4081">
        <f>IF(ChurnData[[#This Row],[churn]]="yes",1,0)</f>
        <v>1</v>
      </c>
    </row>
    <row r="4082" spans="1:21" x14ac:dyDescent="0.3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  <c r="U4082">
        <f>IF(ChurnData[[#This Row],[churn]]="yes",1,0)</f>
        <v>0</v>
      </c>
    </row>
    <row r="4083" spans="1:21" x14ac:dyDescent="0.3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  <c r="U4083">
        <f>IF(ChurnData[[#This Row],[churn]]="yes",1,0)</f>
        <v>0</v>
      </c>
    </row>
    <row r="4084" spans="1:21" x14ac:dyDescent="0.3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  <c r="U4084">
        <f>IF(ChurnData[[#This Row],[churn]]="yes",1,0)</f>
        <v>0</v>
      </c>
    </row>
    <row r="4085" spans="1:21" x14ac:dyDescent="0.3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  <c r="U4085">
        <f>IF(ChurnData[[#This Row],[churn]]="yes",1,0)</f>
        <v>0</v>
      </c>
    </row>
    <row r="4086" spans="1:21" x14ac:dyDescent="0.3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  <c r="U4086">
        <f>IF(ChurnData[[#This Row],[churn]]="yes",1,0)</f>
        <v>1</v>
      </c>
    </row>
    <row r="4087" spans="1:21" x14ac:dyDescent="0.3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  <c r="U4087">
        <f>IF(ChurnData[[#This Row],[churn]]="yes",1,0)</f>
        <v>0</v>
      </c>
    </row>
    <row r="4088" spans="1:21" x14ac:dyDescent="0.3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  <c r="U4088">
        <f>IF(ChurnData[[#This Row],[churn]]="yes",1,0)</f>
        <v>0</v>
      </c>
    </row>
    <row r="4089" spans="1:21" x14ac:dyDescent="0.3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  <c r="U4089">
        <f>IF(ChurnData[[#This Row],[churn]]="yes",1,0)</f>
        <v>0</v>
      </c>
    </row>
    <row r="4090" spans="1:21" x14ac:dyDescent="0.3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  <c r="U4090">
        <f>IF(ChurnData[[#This Row],[churn]]="yes",1,0)</f>
        <v>0</v>
      </c>
    </row>
    <row r="4091" spans="1:21" x14ac:dyDescent="0.3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  <c r="U4091">
        <f>IF(ChurnData[[#This Row],[churn]]="yes",1,0)</f>
        <v>0</v>
      </c>
    </row>
    <row r="4092" spans="1:21" x14ac:dyDescent="0.3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  <c r="U4092">
        <f>IF(ChurnData[[#This Row],[churn]]="yes",1,0)</f>
        <v>0</v>
      </c>
    </row>
    <row r="4093" spans="1:21" x14ac:dyDescent="0.3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  <c r="U4093">
        <f>IF(ChurnData[[#This Row],[churn]]="yes",1,0)</f>
        <v>0</v>
      </c>
    </row>
    <row r="4094" spans="1:21" x14ac:dyDescent="0.3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  <c r="U4094">
        <f>IF(ChurnData[[#This Row],[churn]]="yes",1,0)</f>
        <v>0</v>
      </c>
    </row>
    <row r="4095" spans="1:21" x14ac:dyDescent="0.3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  <c r="U4095">
        <f>IF(ChurnData[[#This Row],[churn]]="yes",1,0)</f>
        <v>0</v>
      </c>
    </row>
    <row r="4096" spans="1:21" x14ac:dyDescent="0.3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  <c r="U4096">
        <f>IF(ChurnData[[#This Row],[churn]]="yes",1,0)</f>
        <v>0</v>
      </c>
    </row>
    <row r="4097" spans="1:21" x14ac:dyDescent="0.3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  <c r="U4097">
        <f>IF(ChurnData[[#This Row],[churn]]="yes",1,0)</f>
        <v>0</v>
      </c>
    </row>
    <row r="4098" spans="1:21" x14ac:dyDescent="0.3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  <c r="U4098">
        <f>IF(ChurnData[[#This Row],[churn]]="yes",1,0)</f>
        <v>0</v>
      </c>
    </row>
    <row r="4099" spans="1:21" x14ac:dyDescent="0.3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  <c r="U4099">
        <f>IF(ChurnData[[#This Row],[churn]]="yes",1,0)</f>
        <v>0</v>
      </c>
    </row>
    <row r="4100" spans="1:21" x14ac:dyDescent="0.3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  <c r="U4100">
        <f>IF(ChurnData[[#This Row],[churn]]="yes",1,0)</f>
        <v>0</v>
      </c>
    </row>
    <row r="4101" spans="1:21" x14ac:dyDescent="0.3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  <c r="U4101">
        <f>IF(ChurnData[[#This Row],[churn]]="yes",1,0)</f>
        <v>0</v>
      </c>
    </row>
    <row r="4102" spans="1:21" x14ac:dyDescent="0.3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  <c r="U4102">
        <f>IF(ChurnData[[#This Row],[churn]]="yes",1,0)</f>
        <v>0</v>
      </c>
    </row>
    <row r="4103" spans="1:21" x14ac:dyDescent="0.3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  <c r="U4103">
        <f>IF(ChurnData[[#This Row],[churn]]="yes",1,0)</f>
        <v>0</v>
      </c>
    </row>
    <row r="4104" spans="1:21" x14ac:dyDescent="0.3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  <c r="U4104">
        <f>IF(ChurnData[[#This Row],[churn]]="yes",1,0)</f>
        <v>0</v>
      </c>
    </row>
    <row r="4105" spans="1:21" x14ac:dyDescent="0.3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  <c r="U4105">
        <f>IF(ChurnData[[#This Row],[churn]]="yes",1,0)</f>
        <v>1</v>
      </c>
    </row>
    <row r="4106" spans="1:21" x14ac:dyDescent="0.3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  <c r="U4106">
        <f>IF(ChurnData[[#This Row],[churn]]="yes",1,0)</f>
        <v>0</v>
      </c>
    </row>
    <row r="4107" spans="1:21" x14ac:dyDescent="0.3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  <c r="U4107">
        <f>IF(ChurnData[[#This Row],[churn]]="yes",1,0)</f>
        <v>0</v>
      </c>
    </row>
    <row r="4108" spans="1:21" x14ac:dyDescent="0.3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  <c r="U4108">
        <f>IF(ChurnData[[#This Row],[churn]]="yes",1,0)</f>
        <v>0</v>
      </c>
    </row>
    <row r="4109" spans="1:21" x14ac:dyDescent="0.3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  <c r="U4109">
        <f>IF(ChurnData[[#This Row],[churn]]="yes",1,0)</f>
        <v>0</v>
      </c>
    </row>
    <row r="4110" spans="1:21" x14ac:dyDescent="0.3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  <c r="U4110">
        <f>IF(ChurnData[[#This Row],[churn]]="yes",1,0)</f>
        <v>0</v>
      </c>
    </row>
    <row r="4111" spans="1:21" x14ac:dyDescent="0.3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  <c r="U4111">
        <f>IF(ChurnData[[#This Row],[churn]]="yes",1,0)</f>
        <v>1</v>
      </c>
    </row>
    <row r="4112" spans="1:21" x14ac:dyDescent="0.3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  <c r="U4112">
        <f>IF(ChurnData[[#This Row],[churn]]="yes",1,0)</f>
        <v>0</v>
      </c>
    </row>
    <row r="4113" spans="1:21" x14ac:dyDescent="0.3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  <c r="U4113">
        <f>IF(ChurnData[[#This Row],[churn]]="yes",1,0)</f>
        <v>0</v>
      </c>
    </row>
    <row r="4114" spans="1:21" x14ac:dyDescent="0.3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  <c r="U4114">
        <f>IF(ChurnData[[#This Row],[churn]]="yes",1,0)</f>
        <v>0</v>
      </c>
    </row>
    <row r="4115" spans="1:21" x14ac:dyDescent="0.3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  <c r="U4115">
        <f>IF(ChurnData[[#This Row],[churn]]="yes",1,0)</f>
        <v>1</v>
      </c>
    </row>
    <row r="4116" spans="1:21" x14ac:dyDescent="0.3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  <c r="U4116">
        <f>IF(ChurnData[[#This Row],[churn]]="yes",1,0)</f>
        <v>0</v>
      </c>
    </row>
    <row r="4117" spans="1:21" x14ac:dyDescent="0.3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  <c r="U4117">
        <f>IF(ChurnData[[#This Row],[churn]]="yes",1,0)</f>
        <v>0</v>
      </c>
    </row>
    <row r="4118" spans="1:21" x14ac:dyDescent="0.3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  <c r="U4118">
        <f>IF(ChurnData[[#This Row],[churn]]="yes",1,0)</f>
        <v>0</v>
      </c>
    </row>
    <row r="4119" spans="1:21" x14ac:dyDescent="0.3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  <c r="U4119">
        <f>IF(ChurnData[[#This Row],[churn]]="yes",1,0)</f>
        <v>0</v>
      </c>
    </row>
    <row r="4120" spans="1:21" x14ac:dyDescent="0.3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  <c r="U4120">
        <f>IF(ChurnData[[#This Row],[churn]]="yes",1,0)</f>
        <v>0</v>
      </c>
    </row>
    <row r="4121" spans="1:21" x14ac:dyDescent="0.3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  <c r="U4121">
        <f>IF(ChurnData[[#This Row],[churn]]="yes",1,0)</f>
        <v>0</v>
      </c>
    </row>
    <row r="4122" spans="1:21" x14ac:dyDescent="0.3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  <c r="U4122">
        <f>IF(ChurnData[[#This Row],[churn]]="yes",1,0)</f>
        <v>0</v>
      </c>
    </row>
    <row r="4123" spans="1:21" x14ac:dyDescent="0.3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  <c r="U4123">
        <f>IF(ChurnData[[#This Row],[churn]]="yes",1,0)</f>
        <v>0</v>
      </c>
    </row>
    <row r="4124" spans="1:21" x14ac:dyDescent="0.3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  <c r="U4124">
        <f>IF(ChurnData[[#This Row],[churn]]="yes",1,0)</f>
        <v>0</v>
      </c>
    </row>
    <row r="4125" spans="1:21" x14ac:dyDescent="0.3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  <c r="U4125">
        <f>IF(ChurnData[[#This Row],[churn]]="yes",1,0)</f>
        <v>0</v>
      </c>
    </row>
    <row r="4126" spans="1:21" x14ac:dyDescent="0.3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  <c r="U4126">
        <f>IF(ChurnData[[#This Row],[churn]]="yes",1,0)</f>
        <v>0</v>
      </c>
    </row>
    <row r="4127" spans="1:21" x14ac:dyDescent="0.3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  <c r="U4127">
        <f>IF(ChurnData[[#This Row],[churn]]="yes",1,0)</f>
        <v>0</v>
      </c>
    </row>
    <row r="4128" spans="1:21" x14ac:dyDescent="0.3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  <c r="U4128">
        <f>IF(ChurnData[[#This Row],[churn]]="yes",1,0)</f>
        <v>0</v>
      </c>
    </row>
    <row r="4129" spans="1:21" x14ac:dyDescent="0.3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  <c r="U4129">
        <f>IF(ChurnData[[#This Row],[churn]]="yes",1,0)</f>
        <v>0</v>
      </c>
    </row>
    <row r="4130" spans="1:21" x14ac:dyDescent="0.3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  <c r="U4130">
        <f>IF(ChurnData[[#This Row],[churn]]="yes",1,0)</f>
        <v>0</v>
      </c>
    </row>
    <row r="4131" spans="1:21" x14ac:dyDescent="0.3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  <c r="U4131">
        <f>IF(ChurnData[[#This Row],[churn]]="yes",1,0)</f>
        <v>0</v>
      </c>
    </row>
    <row r="4132" spans="1:21" x14ac:dyDescent="0.3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  <c r="U4132">
        <f>IF(ChurnData[[#This Row],[churn]]="yes",1,0)</f>
        <v>0</v>
      </c>
    </row>
    <row r="4133" spans="1:21" x14ac:dyDescent="0.3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  <c r="U4133">
        <f>IF(ChurnData[[#This Row],[churn]]="yes",1,0)</f>
        <v>0</v>
      </c>
    </row>
    <row r="4134" spans="1:21" x14ac:dyDescent="0.3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  <c r="U4134">
        <f>IF(ChurnData[[#This Row],[churn]]="yes",1,0)</f>
        <v>0</v>
      </c>
    </row>
    <row r="4135" spans="1:21" x14ac:dyDescent="0.3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  <c r="U4135">
        <f>IF(ChurnData[[#This Row],[churn]]="yes",1,0)</f>
        <v>1</v>
      </c>
    </row>
    <row r="4136" spans="1:21" x14ac:dyDescent="0.3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  <c r="U4136">
        <f>IF(ChurnData[[#This Row],[churn]]="yes",1,0)</f>
        <v>1</v>
      </c>
    </row>
    <row r="4137" spans="1:21" x14ac:dyDescent="0.3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  <c r="U4137">
        <f>IF(ChurnData[[#This Row],[churn]]="yes",1,0)</f>
        <v>0</v>
      </c>
    </row>
    <row r="4138" spans="1:21" x14ac:dyDescent="0.3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  <c r="U4138">
        <f>IF(ChurnData[[#This Row],[churn]]="yes",1,0)</f>
        <v>0</v>
      </c>
    </row>
    <row r="4139" spans="1:21" x14ac:dyDescent="0.3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  <c r="U4139">
        <f>IF(ChurnData[[#This Row],[churn]]="yes",1,0)</f>
        <v>0</v>
      </c>
    </row>
    <row r="4140" spans="1:21" x14ac:dyDescent="0.3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  <c r="U4140">
        <f>IF(ChurnData[[#This Row],[churn]]="yes",1,0)</f>
        <v>0</v>
      </c>
    </row>
    <row r="4141" spans="1:21" x14ac:dyDescent="0.3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  <c r="U4141">
        <f>IF(ChurnData[[#This Row],[churn]]="yes",1,0)</f>
        <v>0</v>
      </c>
    </row>
    <row r="4142" spans="1:21" x14ac:dyDescent="0.3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  <c r="U4142">
        <f>IF(ChurnData[[#This Row],[churn]]="yes",1,0)</f>
        <v>0</v>
      </c>
    </row>
    <row r="4143" spans="1:21" x14ac:dyDescent="0.3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  <c r="U4143">
        <f>IF(ChurnData[[#This Row],[churn]]="yes",1,0)</f>
        <v>0</v>
      </c>
    </row>
    <row r="4144" spans="1:21" x14ac:dyDescent="0.3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  <c r="U4144">
        <f>IF(ChurnData[[#This Row],[churn]]="yes",1,0)</f>
        <v>0</v>
      </c>
    </row>
    <row r="4145" spans="1:21" x14ac:dyDescent="0.3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  <c r="U4145">
        <f>IF(ChurnData[[#This Row],[churn]]="yes",1,0)</f>
        <v>0</v>
      </c>
    </row>
    <row r="4146" spans="1:21" x14ac:dyDescent="0.3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  <c r="U4146">
        <f>IF(ChurnData[[#This Row],[churn]]="yes",1,0)</f>
        <v>0</v>
      </c>
    </row>
    <row r="4147" spans="1:21" x14ac:dyDescent="0.3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  <c r="U4147">
        <f>IF(ChurnData[[#This Row],[churn]]="yes",1,0)</f>
        <v>0</v>
      </c>
    </row>
    <row r="4148" spans="1:21" x14ac:dyDescent="0.3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  <c r="U4148">
        <f>IF(ChurnData[[#This Row],[churn]]="yes",1,0)</f>
        <v>0</v>
      </c>
    </row>
    <row r="4149" spans="1:21" x14ac:dyDescent="0.3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  <c r="U4149">
        <f>IF(ChurnData[[#This Row],[churn]]="yes",1,0)</f>
        <v>0</v>
      </c>
    </row>
    <row r="4150" spans="1:21" x14ac:dyDescent="0.3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  <c r="U4150">
        <f>IF(ChurnData[[#This Row],[churn]]="yes",1,0)</f>
        <v>0</v>
      </c>
    </row>
    <row r="4151" spans="1:21" x14ac:dyDescent="0.3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  <c r="U4151">
        <f>IF(ChurnData[[#This Row],[churn]]="yes",1,0)</f>
        <v>0</v>
      </c>
    </row>
    <row r="4152" spans="1:21" x14ac:dyDescent="0.3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  <c r="U4152">
        <f>IF(ChurnData[[#This Row],[churn]]="yes",1,0)</f>
        <v>0</v>
      </c>
    </row>
    <row r="4153" spans="1:21" x14ac:dyDescent="0.3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  <c r="U4153">
        <f>IF(ChurnData[[#This Row],[churn]]="yes",1,0)</f>
        <v>0</v>
      </c>
    </row>
    <row r="4154" spans="1:21" x14ac:dyDescent="0.3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  <c r="U4154">
        <f>IF(ChurnData[[#This Row],[churn]]="yes",1,0)</f>
        <v>0</v>
      </c>
    </row>
    <row r="4155" spans="1:21" x14ac:dyDescent="0.3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  <c r="U4155">
        <f>IF(ChurnData[[#This Row],[churn]]="yes",1,0)</f>
        <v>0</v>
      </c>
    </row>
    <row r="4156" spans="1:21" x14ac:dyDescent="0.3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  <c r="U4156">
        <f>IF(ChurnData[[#This Row],[churn]]="yes",1,0)</f>
        <v>0</v>
      </c>
    </row>
    <row r="4157" spans="1:21" x14ac:dyDescent="0.3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  <c r="U4157">
        <f>IF(ChurnData[[#This Row],[churn]]="yes",1,0)</f>
        <v>1</v>
      </c>
    </row>
    <row r="4158" spans="1:21" x14ac:dyDescent="0.3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  <c r="U4158">
        <f>IF(ChurnData[[#This Row],[churn]]="yes",1,0)</f>
        <v>0</v>
      </c>
    </row>
    <row r="4159" spans="1:21" x14ac:dyDescent="0.3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  <c r="U4159">
        <f>IF(ChurnData[[#This Row],[churn]]="yes",1,0)</f>
        <v>0</v>
      </c>
    </row>
    <row r="4160" spans="1:21" x14ac:dyDescent="0.3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  <c r="U4160">
        <f>IF(ChurnData[[#This Row],[churn]]="yes",1,0)</f>
        <v>0</v>
      </c>
    </row>
    <row r="4161" spans="1:21" x14ac:dyDescent="0.3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  <c r="U4161">
        <f>IF(ChurnData[[#This Row],[churn]]="yes",1,0)</f>
        <v>0</v>
      </c>
    </row>
    <row r="4162" spans="1:21" x14ac:dyDescent="0.3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  <c r="U4162">
        <f>IF(ChurnData[[#This Row],[churn]]="yes",1,0)</f>
        <v>1</v>
      </c>
    </row>
    <row r="4163" spans="1:21" x14ac:dyDescent="0.3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  <c r="U4163">
        <f>IF(ChurnData[[#This Row],[churn]]="yes",1,0)</f>
        <v>0</v>
      </c>
    </row>
    <row r="4164" spans="1:21" x14ac:dyDescent="0.3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  <c r="U4164">
        <f>IF(ChurnData[[#This Row],[churn]]="yes",1,0)</f>
        <v>0</v>
      </c>
    </row>
    <row r="4165" spans="1:21" x14ac:dyDescent="0.3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  <c r="U4165">
        <f>IF(ChurnData[[#This Row],[churn]]="yes",1,0)</f>
        <v>0</v>
      </c>
    </row>
    <row r="4166" spans="1:21" x14ac:dyDescent="0.3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  <c r="U4166">
        <f>IF(ChurnData[[#This Row],[churn]]="yes",1,0)</f>
        <v>0</v>
      </c>
    </row>
    <row r="4167" spans="1:21" x14ac:dyDescent="0.3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  <c r="U4167">
        <f>IF(ChurnData[[#This Row],[churn]]="yes",1,0)</f>
        <v>0</v>
      </c>
    </row>
    <row r="4168" spans="1:21" x14ac:dyDescent="0.3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  <c r="U4168">
        <f>IF(ChurnData[[#This Row],[churn]]="yes",1,0)</f>
        <v>0</v>
      </c>
    </row>
    <row r="4169" spans="1:21" x14ac:dyDescent="0.3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  <c r="U4169">
        <f>IF(ChurnData[[#This Row],[churn]]="yes",1,0)</f>
        <v>0</v>
      </c>
    </row>
    <row r="4170" spans="1:21" x14ac:dyDescent="0.3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  <c r="U4170">
        <f>IF(ChurnData[[#This Row],[churn]]="yes",1,0)</f>
        <v>0</v>
      </c>
    </row>
    <row r="4171" spans="1:21" x14ac:dyDescent="0.3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  <c r="U4171">
        <f>IF(ChurnData[[#This Row],[churn]]="yes",1,0)</f>
        <v>0</v>
      </c>
    </row>
    <row r="4172" spans="1:21" x14ac:dyDescent="0.3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  <c r="U4172">
        <f>IF(ChurnData[[#This Row],[churn]]="yes",1,0)</f>
        <v>0</v>
      </c>
    </row>
    <row r="4173" spans="1:21" x14ac:dyDescent="0.3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  <c r="U4173">
        <f>IF(ChurnData[[#This Row],[churn]]="yes",1,0)</f>
        <v>0</v>
      </c>
    </row>
    <row r="4174" spans="1:21" x14ac:dyDescent="0.3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  <c r="U4174">
        <f>IF(ChurnData[[#This Row],[churn]]="yes",1,0)</f>
        <v>0</v>
      </c>
    </row>
    <row r="4175" spans="1:21" x14ac:dyDescent="0.3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  <c r="U4175">
        <f>IF(ChurnData[[#This Row],[churn]]="yes",1,0)</f>
        <v>0</v>
      </c>
    </row>
    <row r="4176" spans="1:21" x14ac:dyDescent="0.3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  <c r="U4176">
        <f>IF(ChurnData[[#This Row],[churn]]="yes",1,0)</f>
        <v>0</v>
      </c>
    </row>
    <row r="4177" spans="1:21" x14ac:dyDescent="0.3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  <c r="U4177">
        <f>IF(ChurnData[[#This Row],[churn]]="yes",1,0)</f>
        <v>0</v>
      </c>
    </row>
    <row r="4178" spans="1:21" x14ac:dyDescent="0.3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  <c r="U4178">
        <f>IF(ChurnData[[#This Row],[churn]]="yes",1,0)</f>
        <v>1</v>
      </c>
    </row>
    <row r="4179" spans="1:21" x14ac:dyDescent="0.3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  <c r="U4179">
        <f>IF(ChurnData[[#This Row],[churn]]="yes",1,0)</f>
        <v>0</v>
      </c>
    </row>
    <row r="4180" spans="1:21" x14ac:dyDescent="0.3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  <c r="U4180">
        <f>IF(ChurnData[[#This Row],[churn]]="yes",1,0)</f>
        <v>0</v>
      </c>
    </row>
    <row r="4181" spans="1:21" x14ac:dyDescent="0.3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  <c r="U4181">
        <f>IF(ChurnData[[#This Row],[churn]]="yes",1,0)</f>
        <v>1</v>
      </c>
    </row>
    <row r="4182" spans="1:21" x14ac:dyDescent="0.3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  <c r="U4182">
        <f>IF(ChurnData[[#This Row],[churn]]="yes",1,0)</f>
        <v>1</v>
      </c>
    </row>
    <row r="4183" spans="1:21" x14ac:dyDescent="0.3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  <c r="U4183">
        <f>IF(ChurnData[[#This Row],[churn]]="yes",1,0)</f>
        <v>0</v>
      </c>
    </row>
    <row r="4184" spans="1:21" x14ac:dyDescent="0.3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  <c r="U4184">
        <f>IF(ChurnData[[#This Row],[churn]]="yes",1,0)</f>
        <v>1</v>
      </c>
    </row>
    <row r="4185" spans="1:21" x14ac:dyDescent="0.3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  <c r="U4185">
        <f>IF(ChurnData[[#This Row],[churn]]="yes",1,0)</f>
        <v>0</v>
      </c>
    </row>
    <row r="4186" spans="1:21" x14ac:dyDescent="0.3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  <c r="U4186">
        <f>IF(ChurnData[[#This Row],[churn]]="yes",1,0)</f>
        <v>0</v>
      </c>
    </row>
    <row r="4187" spans="1:21" x14ac:dyDescent="0.3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  <c r="U4187">
        <f>IF(ChurnData[[#This Row],[churn]]="yes",1,0)</f>
        <v>1</v>
      </c>
    </row>
    <row r="4188" spans="1:21" x14ac:dyDescent="0.3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  <c r="U4188">
        <f>IF(ChurnData[[#This Row],[churn]]="yes",1,0)</f>
        <v>0</v>
      </c>
    </row>
    <row r="4189" spans="1:21" x14ac:dyDescent="0.3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  <c r="U4189">
        <f>IF(ChurnData[[#This Row],[churn]]="yes",1,0)</f>
        <v>0</v>
      </c>
    </row>
    <row r="4190" spans="1:21" x14ac:dyDescent="0.3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  <c r="U4190">
        <f>IF(ChurnData[[#This Row],[churn]]="yes",1,0)</f>
        <v>0</v>
      </c>
    </row>
    <row r="4191" spans="1:21" x14ac:dyDescent="0.3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  <c r="U4191">
        <f>IF(ChurnData[[#This Row],[churn]]="yes",1,0)</f>
        <v>0</v>
      </c>
    </row>
    <row r="4192" spans="1:21" x14ac:dyDescent="0.3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  <c r="U4192">
        <f>IF(ChurnData[[#This Row],[churn]]="yes",1,0)</f>
        <v>0</v>
      </c>
    </row>
    <row r="4193" spans="1:21" x14ac:dyDescent="0.3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  <c r="U4193">
        <f>IF(ChurnData[[#This Row],[churn]]="yes",1,0)</f>
        <v>0</v>
      </c>
    </row>
    <row r="4194" spans="1:21" x14ac:dyDescent="0.3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  <c r="U4194">
        <f>IF(ChurnData[[#This Row],[churn]]="yes",1,0)</f>
        <v>0</v>
      </c>
    </row>
    <row r="4195" spans="1:21" x14ac:dyDescent="0.3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  <c r="U4195">
        <f>IF(ChurnData[[#This Row],[churn]]="yes",1,0)</f>
        <v>1</v>
      </c>
    </row>
    <row r="4196" spans="1:21" x14ac:dyDescent="0.3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  <c r="U4196">
        <f>IF(ChurnData[[#This Row],[churn]]="yes",1,0)</f>
        <v>0</v>
      </c>
    </row>
    <row r="4197" spans="1:21" x14ac:dyDescent="0.3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  <c r="U4197">
        <f>IF(ChurnData[[#This Row],[churn]]="yes",1,0)</f>
        <v>1</v>
      </c>
    </row>
    <row r="4198" spans="1:21" x14ac:dyDescent="0.3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  <c r="U4198">
        <f>IF(ChurnData[[#This Row],[churn]]="yes",1,0)</f>
        <v>0</v>
      </c>
    </row>
    <row r="4199" spans="1:21" x14ac:dyDescent="0.3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  <c r="U4199">
        <f>IF(ChurnData[[#This Row],[churn]]="yes",1,0)</f>
        <v>0</v>
      </c>
    </row>
    <row r="4200" spans="1:21" x14ac:dyDescent="0.3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  <c r="U4200">
        <f>IF(ChurnData[[#This Row],[churn]]="yes",1,0)</f>
        <v>0</v>
      </c>
    </row>
    <row r="4201" spans="1:21" x14ac:dyDescent="0.3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  <c r="U4201">
        <f>IF(ChurnData[[#This Row],[churn]]="yes",1,0)</f>
        <v>1</v>
      </c>
    </row>
    <row r="4202" spans="1:21" x14ac:dyDescent="0.3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  <c r="U4202">
        <f>IF(ChurnData[[#This Row],[churn]]="yes",1,0)</f>
        <v>0</v>
      </c>
    </row>
    <row r="4203" spans="1:21" x14ac:dyDescent="0.3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  <c r="U4203">
        <f>IF(ChurnData[[#This Row],[churn]]="yes",1,0)</f>
        <v>0</v>
      </c>
    </row>
    <row r="4204" spans="1:21" x14ac:dyDescent="0.3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  <c r="U4204">
        <f>IF(ChurnData[[#This Row],[churn]]="yes",1,0)</f>
        <v>0</v>
      </c>
    </row>
    <row r="4205" spans="1:21" x14ac:dyDescent="0.3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  <c r="U4205">
        <f>IF(ChurnData[[#This Row],[churn]]="yes",1,0)</f>
        <v>1</v>
      </c>
    </row>
    <row r="4206" spans="1:21" x14ac:dyDescent="0.3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  <c r="U4206">
        <f>IF(ChurnData[[#This Row],[churn]]="yes",1,0)</f>
        <v>0</v>
      </c>
    </row>
    <row r="4207" spans="1:21" x14ac:dyDescent="0.3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  <c r="U4207">
        <f>IF(ChurnData[[#This Row],[churn]]="yes",1,0)</f>
        <v>0</v>
      </c>
    </row>
    <row r="4208" spans="1:21" x14ac:dyDescent="0.3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  <c r="U4208">
        <f>IF(ChurnData[[#This Row],[churn]]="yes",1,0)</f>
        <v>0</v>
      </c>
    </row>
    <row r="4209" spans="1:21" x14ac:dyDescent="0.3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  <c r="U4209">
        <f>IF(ChurnData[[#This Row],[churn]]="yes",1,0)</f>
        <v>0</v>
      </c>
    </row>
    <row r="4210" spans="1:21" x14ac:dyDescent="0.3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  <c r="U4210">
        <f>IF(ChurnData[[#This Row],[churn]]="yes",1,0)</f>
        <v>1</v>
      </c>
    </row>
    <row r="4211" spans="1:21" x14ac:dyDescent="0.3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  <c r="U4211">
        <f>IF(ChurnData[[#This Row],[churn]]="yes",1,0)</f>
        <v>0</v>
      </c>
    </row>
    <row r="4212" spans="1:21" x14ac:dyDescent="0.3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  <c r="U4212">
        <f>IF(ChurnData[[#This Row],[churn]]="yes",1,0)</f>
        <v>0</v>
      </c>
    </row>
    <row r="4213" spans="1:21" x14ac:dyDescent="0.3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  <c r="U4213">
        <f>IF(ChurnData[[#This Row],[churn]]="yes",1,0)</f>
        <v>0</v>
      </c>
    </row>
    <row r="4214" spans="1:21" x14ac:dyDescent="0.3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  <c r="U4214">
        <f>IF(ChurnData[[#This Row],[churn]]="yes",1,0)</f>
        <v>0</v>
      </c>
    </row>
    <row r="4215" spans="1:21" x14ac:dyDescent="0.3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  <c r="U4215">
        <f>IF(ChurnData[[#This Row],[churn]]="yes",1,0)</f>
        <v>1</v>
      </c>
    </row>
    <row r="4216" spans="1:21" x14ac:dyDescent="0.3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  <c r="U4216">
        <f>IF(ChurnData[[#This Row],[churn]]="yes",1,0)</f>
        <v>0</v>
      </c>
    </row>
    <row r="4217" spans="1:21" x14ac:dyDescent="0.3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  <c r="U4217">
        <f>IF(ChurnData[[#This Row],[churn]]="yes",1,0)</f>
        <v>0</v>
      </c>
    </row>
    <row r="4218" spans="1:21" x14ac:dyDescent="0.3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  <c r="U4218">
        <f>IF(ChurnData[[#This Row],[churn]]="yes",1,0)</f>
        <v>0</v>
      </c>
    </row>
    <row r="4219" spans="1:21" x14ac:dyDescent="0.3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  <c r="U4219">
        <f>IF(ChurnData[[#This Row],[churn]]="yes",1,0)</f>
        <v>0</v>
      </c>
    </row>
    <row r="4220" spans="1:21" x14ac:dyDescent="0.3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  <c r="U4220">
        <f>IF(ChurnData[[#This Row],[churn]]="yes",1,0)</f>
        <v>0</v>
      </c>
    </row>
    <row r="4221" spans="1:21" x14ac:dyDescent="0.3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  <c r="U4221">
        <f>IF(ChurnData[[#This Row],[churn]]="yes",1,0)</f>
        <v>0</v>
      </c>
    </row>
    <row r="4222" spans="1:21" x14ac:dyDescent="0.3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  <c r="U4222">
        <f>IF(ChurnData[[#This Row],[churn]]="yes",1,0)</f>
        <v>0</v>
      </c>
    </row>
    <row r="4223" spans="1:21" x14ac:dyDescent="0.3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  <c r="U4223">
        <f>IF(ChurnData[[#This Row],[churn]]="yes",1,0)</f>
        <v>0</v>
      </c>
    </row>
    <row r="4224" spans="1:21" x14ac:dyDescent="0.3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  <c r="U4224">
        <f>IF(ChurnData[[#This Row],[churn]]="yes",1,0)</f>
        <v>0</v>
      </c>
    </row>
    <row r="4225" spans="1:21" x14ac:dyDescent="0.3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  <c r="U4225">
        <f>IF(ChurnData[[#This Row],[churn]]="yes",1,0)</f>
        <v>0</v>
      </c>
    </row>
    <row r="4226" spans="1:21" x14ac:dyDescent="0.3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  <c r="U4226">
        <f>IF(ChurnData[[#This Row],[churn]]="yes",1,0)</f>
        <v>0</v>
      </c>
    </row>
    <row r="4227" spans="1:21" x14ac:dyDescent="0.3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  <c r="U4227">
        <f>IF(ChurnData[[#This Row],[churn]]="yes",1,0)</f>
        <v>0</v>
      </c>
    </row>
    <row r="4228" spans="1:21" x14ac:dyDescent="0.3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  <c r="U4228">
        <f>IF(ChurnData[[#This Row],[churn]]="yes",1,0)</f>
        <v>0</v>
      </c>
    </row>
    <row r="4229" spans="1:21" x14ac:dyDescent="0.3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  <c r="U4229">
        <f>IF(ChurnData[[#This Row],[churn]]="yes",1,0)</f>
        <v>0</v>
      </c>
    </row>
    <row r="4230" spans="1:21" x14ac:dyDescent="0.3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  <c r="U4230">
        <f>IF(ChurnData[[#This Row],[churn]]="yes",1,0)</f>
        <v>0</v>
      </c>
    </row>
    <row r="4231" spans="1:21" x14ac:dyDescent="0.3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  <c r="U4231">
        <f>IF(ChurnData[[#This Row],[churn]]="yes",1,0)</f>
        <v>0</v>
      </c>
    </row>
    <row r="4232" spans="1:21" x14ac:dyDescent="0.3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  <c r="U4232">
        <f>IF(ChurnData[[#This Row],[churn]]="yes",1,0)</f>
        <v>0</v>
      </c>
    </row>
    <row r="4233" spans="1:21" x14ac:dyDescent="0.3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  <c r="U4233">
        <f>IF(ChurnData[[#This Row],[churn]]="yes",1,0)</f>
        <v>0</v>
      </c>
    </row>
    <row r="4234" spans="1:21" x14ac:dyDescent="0.3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  <c r="U4234">
        <f>IF(ChurnData[[#This Row],[churn]]="yes",1,0)</f>
        <v>0</v>
      </c>
    </row>
    <row r="4235" spans="1:21" x14ac:dyDescent="0.3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  <c r="U4235">
        <f>IF(ChurnData[[#This Row],[churn]]="yes",1,0)</f>
        <v>0</v>
      </c>
    </row>
    <row r="4236" spans="1:21" x14ac:dyDescent="0.3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  <c r="U4236">
        <f>IF(ChurnData[[#This Row],[churn]]="yes",1,0)</f>
        <v>0</v>
      </c>
    </row>
    <row r="4237" spans="1:21" x14ac:dyDescent="0.3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  <c r="U4237">
        <f>IF(ChurnData[[#This Row],[churn]]="yes",1,0)</f>
        <v>0</v>
      </c>
    </row>
    <row r="4238" spans="1:21" x14ac:dyDescent="0.3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  <c r="U4238">
        <f>IF(ChurnData[[#This Row],[churn]]="yes",1,0)</f>
        <v>0</v>
      </c>
    </row>
    <row r="4239" spans="1:21" x14ac:dyDescent="0.3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  <c r="U4239">
        <f>IF(ChurnData[[#This Row],[churn]]="yes",1,0)</f>
        <v>0</v>
      </c>
    </row>
    <row r="4240" spans="1:21" x14ac:dyDescent="0.3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  <c r="U4240">
        <f>IF(ChurnData[[#This Row],[churn]]="yes",1,0)</f>
        <v>0</v>
      </c>
    </row>
    <row r="4241" spans="1:21" x14ac:dyDescent="0.3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  <c r="U4241">
        <f>IF(ChurnData[[#This Row],[churn]]="yes",1,0)</f>
        <v>0</v>
      </c>
    </row>
    <row r="4242" spans="1:21" x14ac:dyDescent="0.3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  <c r="U4242">
        <f>IF(ChurnData[[#This Row],[churn]]="yes",1,0)</f>
        <v>0</v>
      </c>
    </row>
    <row r="4243" spans="1:21" x14ac:dyDescent="0.3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  <c r="U4243">
        <f>IF(ChurnData[[#This Row],[churn]]="yes",1,0)</f>
        <v>0</v>
      </c>
    </row>
    <row r="4244" spans="1:21" x14ac:dyDescent="0.3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  <c r="U4244">
        <f>IF(ChurnData[[#This Row],[churn]]="yes",1,0)</f>
        <v>0</v>
      </c>
    </row>
    <row r="4245" spans="1:21" x14ac:dyDescent="0.3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  <c r="U4245">
        <f>IF(ChurnData[[#This Row],[churn]]="yes",1,0)</f>
        <v>1</v>
      </c>
    </row>
    <row r="4246" spans="1:21" x14ac:dyDescent="0.3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  <c r="U4246">
        <f>IF(ChurnData[[#This Row],[churn]]="yes",1,0)</f>
        <v>1</v>
      </c>
    </row>
    <row r="4247" spans="1:21" x14ac:dyDescent="0.3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  <c r="U4247">
        <f>IF(ChurnData[[#This Row],[churn]]="yes",1,0)</f>
        <v>0</v>
      </c>
    </row>
    <row r="4248" spans="1:21" x14ac:dyDescent="0.3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  <c r="U4248">
        <f>IF(ChurnData[[#This Row],[churn]]="yes",1,0)</f>
        <v>0</v>
      </c>
    </row>
    <row r="4249" spans="1:21" x14ac:dyDescent="0.3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  <c r="U4249">
        <f>IF(ChurnData[[#This Row],[churn]]="yes",1,0)</f>
        <v>0</v>
      </c>
    </row>
    <row r="4250" spans="1:21" x14ac:dyDescent="0.3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  <c r="U4250">
        <f>IF(ChurnData[[#This Row],[churn]]="yes",1,0)</f>
        <v>0</v>
      </c>
    </row>
    <row r="4251" spans="1:21" x14ac:dyDescent="0.3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  <c r="U4251">
        <f>IF(ChurnData[[#This Row],[churn]]="yes",1,0)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0CF0-6D26-43A1-8A94-61519C9688B5}">
  <dimension ref="A1:C21"/>
  <sheetViews>
    <sheetView workbookViewId="0">
      <selection sqref="A1:C21"/>
    </sheetView>
  </sheetViews>
  <sheetFormatPr defaultColWidth="27.44140625" defaultRowHeight="14.4" x14ac:dyDescent="0.3"/>
  <cols>
    <col min="1" max="1" width="27.5546875" bestFit="1" customWidth="1"/>
    <col min="2" max="2" width="26.6640625" bestFit="1" customWidth="1"/>
    <col min="3" max="3" width="10.21875" bestFit="1" customWidth="1"/>
  </cols>
  <sheetData>
    <row r="1" spans="1:3" x14ac:dyDescent="0.3">
      <c r="A1" s="20" t="s">
        <v>76</v>
      </c>
      <c r="B1" s="20" t="s">
        <v>77</v>
      </c>
      <c r="C1" s="20" t="s">
        <v>78</v>
      </c>
    </row>
    <row r="2" spans="1:3" x14ac:dyDescent="0.3">
      <c r="A2" s="11" t="s">
        <v>0</v>
      </c>
      <c r="B2" s="11" t="s">
        <v>79</v>
      </c>
      <c r="C2" s="11" t="s">
        <v>80</v>
      </c>
    </row>
    <row r="3" spans="1:3" x14ac:dyDescent="0.3">
      <c r="A3" s="11" t="s">
        <v>1</v>
      </c>
      <c r="B3" s="11" t="s">
        <v>81</v>
      </c>
      <c r="C3" s="11" t="s">
        <v>82</v>
      </c>
    </row>
    <row r="4" spans="1:3" x14ac:dyDescent="0.3">
      <c r="A4" s="11" t="s">
        <v>2</v>
      </c>
      <c r="B4" s="11" t="s">
        <v>83</v>
      </c>
      <c r="C4" s="11" t="s">
        <v>80</v>
      </c>
    </row>
    <row r="5" spans="1:3" x14ac:dyDescent="0.3">
      <c r="A5" s="11" t="s">
        <v>3</v>
      </c>
      <c r="B5" s="11" t="s">
        <v>84</v>
      </c>
      <c r="C5" s="11" t="s">
        <v>85</v>
      </c>
    </row>
    <row r="6" spans="1:3" x14ac:dyDescent="0.3">
      <c r="A6" s="11" t="s">
        <v>4</v>
      </c>
      <c r="B6" s="11" t="s">
        <v>86</v>
      </c>
      <c r="C6" s="11" t="s">
        <v>85</v>
      </c>
    </row>
    <row r="7" spans="1:3" x14ac:dyDescent="0.3">
      <c r="A7" s="11" t="s">
        <v>5</v>
      </c>
      <c r="B7" s="11" t="s">
        <v>87</v>
      </c>
      <c r="C7" s="11" t="s">
        <v>82</v>
      </c>
    </row>
    <row r="8" spans="1:3" x14ac:dyDescent="0.3">
      <c r="A8" s="11" t="s">
        <v>6</v>
      </c>
      <c r="B8" s="11" t="s">
        <v>88</v>
      </c>
      <c r="C8" s="11" t="s">
        <v>82</v>
      </c>
    </row>
    <row r="9" spans="1:3" x14ac:dyDescent="0.3">
      <c r="A9" s="11" t="s">
        <v>7</v>
      </c>
      <c r="B9" s="11" t="s">
        <v>89</v>
      </c>
      <c r="C9" s="11" t="s">
        <v>82</v>
      </c>
    </row>
    <row r="10" spans="1:3" x14ac:dyDescent="0.3">
      <c r="A10" s="11" t="s">
        <v>8</v>
      </c>
      <c r="B10" s="11" t="s">
        <v>90</v>
      </c>
      <c r="C10" s="11" t="s">
        <v>82</v>
      </c>
    </row>
    <row r="11" spans="1:3" x14ac:dyDescent="0.3">
      <c r="A11" s="11" t="s">
        <v>9</v>
      </c>
      <c r="B11" s="11" t="s">
        <v>91</v>
      </c>
      <c r="C11" s="11" t="s">
        <v>82</v>
      </c>
    </row>
    <row r="12" spans="1:3" x14ac:dyDescent="0.3">
      <c r="A12" s="11" t="s">
        <v>10</v>
      </c>
      <c r="B12" s="11" t="s">
        <v>92</v>
      </c>
      <c r="C12" s="11" t="s">
        <v>82</v>
      </c>
    </row>
    <row r="13" spans="1:3" x14ac:dyDescent="0.3">
      <c r="A13" s="11" t="s">
        <v>11</v>
      </c>
      <c r="B13" s="11" t="s">
        <v>93</v>
      </c>
      <c r="C13" s="11" t="s">
        <v>82</v>
      </c>
    </row>
    <row r="14" spans="1:3" x14ac:dyDescent="0.3">
      <c r="A14" s="11" t="s">
        <v>12</v>
      </c>
      <c r="B14" s="11" t="s">
        <v>94</v>
      </c>
      <c r="C14" s="11" t="s">
        <v>82</v>
      </c>
    </row>
    <row r="15" spans="1:3" x14ac:dyDescent="0.3">
      <c r="A15" s="11" t="s">
        <v>13</v>
      </c>
      <c r="B15" s="11" t="s">
        <v>95</v>
      </c>
      <c r="C15" s="11" t="s">
        <v>82</v>
      </c>
    </row>
    <row r="16" spans="1:3" x14ac:dyDescent="0.3">
      <c r="A16" s="11" t="s">
        <v>14</v>
      </c>
      <c r="B16" s="11" t="s">
        <v>96</v>
      </c>
      <c r="C16" s="11" t="s">
        <v>82</v>
      </c>
    </row>
    <row r="17" spans="1:3" x14ac:dyDescent="0.3">
      <c r="A17" s="11" t="s">
        <v>15</v>
      </c>
      <c r="B17" s="11" t="s">
        <v>97</v>
      </c>
      <c r="C17" s="11" t="s">
        <v>82</v>
      </c>
    </row>
    <row r="18" spans="1:3" x14ac:dyDescent="0.3">
      <c r="A18" s="11" t="s">
        <v>16</v>
      </c>
      <c r="B18" s="11" t="s">
        <v>98</v>
      </c>
      <c r="C18" s="11" t="s">
        <v>82</v>
      </c>
    </row>
    <row r="19" spans="1:3" x14ac:dyDescent="0.3">
      <c r="A19" s="11" t="s">
        <v>17</v>
      </c>
      <c r="B19" s="11" t="s">
        <v>99</v>
      </c>
      <c r="C19" s="11" t="s">
        <v>82</v>
      </c>
    </row>
    <row r="20" spans="1:3" x14ac:dyDescent="0.3">
      <c r="A20" s="11" t="s">
        <v>18</v>
      </c>
      <c r="B20" s="11" t="s">
        <v>100</v>
      </c>
      <c r="C20" s="11" t="s">
        <v>82</v>
      </c>
    </row>
    <row r="21" spans="1:3" x14ac:dyDescent="0.3">
      <c r="A21" s="11" t="s">
        <v>19</v>
      </c>
      <c r="B21" s="11" t="s">
        <v>101</v>
      </c>
      <c r="C21" s="1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2131-2A5E-4286-9BC2-CF9F1DF14175}">
  <dimension ref="A1:E20"/>
  <sheetViews>
    <sheetView workbookViewId="0">
      <selection activeCell="D1" sqref="D1:E20"/>
    </sheetView>
  </sheetViews>
  <sheetFormatPr defaultColWidth="25.109375" defaultRowHeight="14.4" x14ac:dyDescent="0.3"/>
  <cols>
    <col min="1" max="1" width="22.109375" bestFit="1" customWidth="1"/>
    <col min="2" max="2" width="6.109375" bestFit="1" customWidth="1"/>
    <col min="3" max="3" width="20.21875" customWidth="1"/>
    <col min="4" max="4" width="27.5546875" bestFit="1" customWidth="1"/>
    <col min="5" max="5" width="18.44140625" customWidth="1"/>
  </cols>
  <sheetData>
    <row r="1" spans="1:5" x14ac:dyDescent="0.3">
      <c r="A1" s="14" t="s">
        <v>103</v>
      </c>
      <c r="B1" s="14" t="s">
        <v>104</v>
      </c>
      <c r="D1" s="20" t="s">
        <v>76</v>
      </c>
      <c r="E1" s="37" t="s">
        <v>108</v>
      </c>
    </row>
    <row r="2" spans="1:5" x14ac:dyDescent="0.3">
      <c r="A2" s="14" t="s">
        <v>105</v>
      </c>
      <c r="B2" s="15">
        <f>ROWS(ChurnData[churn])</f>
        <v>4250</v>
      </c>
      <c r="D2" s="11" t="s">
        <v>0</v>
      </c>
      <c r="E2" s="15">
        <f>COUNTBLANK(ChurnData[state])</f>
        <v>0</v>
      </c>
    </row>
    <row r="3" spans="1:5" x14ac:dyDescent="0.3">
      <c r="A3" s="14" t="s">
        <v>106</v>
      </c>
      <c r="B3" s="15">
        <f>COUNTIF(ChurnData[churn],"yes")</f>
        <v>598</v>
      </c>
      <c r="D3" s="11" t="s">
        <v>1</v>
      </c>
      <c r="E3" s="21">
        <f>COUNTBLANK(ChurnData[account_length])</f>
        <v>0</v>
      </c>
    </row>
    <row r="4" spans="1:5" x14ac:dyDescent="0.3">
      <c r="A4" s="9" t="s">
        <v>107</v>
      </c>
      <c r="B4" s="36">
        <f>COUNTIF(ChurnData[churn],"no")</f>
        <v>3652</v>
      </c>
      <c r="D4" s="11" t="s">
        <v>2</v>
      </c>
      <c r="E4" s="21">
        <f>COUNTBLANK(ChurnData[area_code])</f>
        <v>0</v>
      </c>
    </row>
    <row r="5" spans="1:5" x14ac:dyDescent="0.3">
      <c r="A5" s="2"/>
      <c r="B5" s="2"/>
      <c r="D5" s="11" t="s">
        <v>3</v>
      </c>
      <c r="E5" s="21">
        <f>COUNTBLANK(ChurnData[international_plan])</f>
        <v>0</v>
      </c>
    </row>
    <row r="6" spans="1:5" x14ac:dyDescent="0.3">
      <c r="B6" s="2"/>
      <c r="D6" s="11" t="s">
        <v>4</v>
      </c>
      <c r="E6" s="21">
        <f>COUNTBLANK(ChurnData[voice_mail_plan])</f>
        <v>0</v>
      </c>
    </row>
    <row r="7" spans="1:5" x14ac:dyDescent="0.3">
      <c r="D7" s="11" t="s">
        <v>6</v>
      </c>
      <c r="E7" s="21">
        <f>COUNTBLANK(ChurnData[total_day_minutes])</f>
        <v>0</v>
      </c>
    </row>
    <row r="8" spans="1:5" x14ac:dyDescent="0.3">
      <c r="D8" s="11" t="s">
        <v>7</v>
      </c>
      <c r="E8" s="21">
        <f>COUNTBLANK(ChurnData[total_day_calls])</f>
        <v>0</v>
      </c>
    </row>
    <row r="9" spans="1:5" x14ac:dyDescent="0.3">
      <c r="D9" s="11" t="s">
        <v>8</v>
      </c>
      <c r="E9" s="21">
        <f>COUNTBLANK(ChurnData[total_day_charge])</f>
        <v>0</v>
      </c>
    </row>
    <row r="10" spans="1:5" x14ac:dyDescent="0.3">
      <c r="D10" s="15" t="s">
        <v>9</v>
      </c>
      <c r="E10" s="15">
        <f>COUNTBLANK(ChurnData[total_eve_minutes])</f>
        <v>0</v>
      </c>
    </row>
    <row r="11" spans="1:5" x14ac:dyDescent="0.3">
      <c r="D11" s="15" t="s">
        <v>10</v>
      </c>
      <c r="E11" s="15">
        <f>COUNTBLANK(ChurnData[total_eve_calls])</f>
        <v>0</v>
      </c>
    </row>
    <row r="12" spans="1:5" x14ac:dyDescent="0.3">
      <c r="D12" s="15" t="s">
        <v>11</v>
      </c>
      <c r="E12" s="15">
        <f>COUNTBLANK(ChurnData[total_eve_charge])</f>
        <v>0</v>
      </c>
    </row>
    <row r="13" spans="1:5" x14ac:dyDescent="0.3">
      <c r="D13" s="15" t="s">
        <v>12</v>
      </c>
      <c r="E13" s="15">
        <f>COUNTBLANK(ChurnData[total_night_minutes])</f>
        <v>0</v>
      </c>
    </row>
    <row r="14" spans="1:5" x14ac:dyDescent="0.3">
      <c r="D14" s="15" t="s">
        <v>13</v>
      </c>
      <c r="E14" s="15">
        <f>COUNTBLANK(ChurnData[total_night_calls])</f>
        <v>0</v>
      </c>
    </row>
    <row r="15" spans="1:5" x14ac:dyDescent="0.3">
      <c r="D15" s="15" t="s">
        <v>14</v>
      </c>
      <c r="E15" s="15">
        <f>COUNTBLANK(ChurnData[total_night_charge])</f>
        <v>0</v>
      </c>
    </row>
    <row r="16" spans="1:5" x14ac:dyDescent="0.3">
      <c r="D16" s="15" t="s">
        <v>15</v>
      </c>
      <c r="E16" s="15">
        <f>COUNTBLANK(ChurnData[total_intl_minutes])</f>
        <v>0</v>
      </c>
    </row>
    <row r="17" spans="4:5" x14ac:dyDescent="0.3">
      <c r="D17" s="15" t="s">
        <v>16</v>
      </c>
      <c r="E17" s="15">
        <f>COUNTBLANK(ChurnData[total_intl_calls])</f>
        <v>0</v>
      </c>
    </row>
    <row r="18" spans="4:5" x14ac:dyDescent="0.3">
      <c r="D18" s="15" t="s">
        <v>17</v>
      </c>
      <c r="E18" s="15">
        <f>COUNTBLANK(ChurnData[total_intl_charge])</f>
        <v>0</v>
      </c>
    </row>
    <row r="19" spans="4:5" x14ac:dyDescent="0.3">
      <c r="D19" s="15" t="s">
        <v>18</v>
      </c>
      <c r="E19" s="15">
        <f>COUNTBLANK(ChurnData[number_customer_service_calls])</f>
        <v>0</v>
      </c>
    </row>
    <row r="20" spans="4:5" x14ac:dyDescent="0.3">
      <c r="D20" s="15" t="s">
        <v>19</v>
      </c>
      <c r="E20" s="15">
        <f>COUNTBLANK(ChurnData[churn])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6DFA-FDC7-42D7-9B80-E2AFEE300B9B}">
  <dimension ref="A1:F69"/>
  <sheetViews>
    <sheetView zoomScale="96" zoomScaleNormal="59" workbookViewId="0">
      <selection activeCell="D2" sqref="D2:F4"/>
    </sheetView>
  </sheetViews>
  <sheetFormatPr defaultColWidth="14.5546875" defaultRowHeight="14.4" x14ac:dyDescent="0.3"/>
  <cols>
    <col min="1" max="1" width="22.33203125" bestFit="1" customWidth="1"/>
    <col min="2" max="2" width="22.5546875" bestFit="1" customWidth="1"/>
    <col min="3" max="3" width="29.77734375" customWidth="1"/>
    <col min="4" max="4" width="34.6640625" customWidth="1"/>
    <col min="5" max="5" width="22.77734375" bestFit="1" customWidth="1"/>
    <col min="6" max="6" width="38" bestFit="1" customWidth="1"/>
  </cols>
  <sheetData>
    <row r="1" spans="1:6" x14ac:dyDescent="0.3">
      <c r="A1" s="20" t="s">
        <v>109</v>
      </c>
      <c r="B1" s="10" t="s">
        <v>104</v>
      </c>
      <c r="D1" s="3" t="s">
        <v>115</v>
      </c>
    </row>
    <row r="2" spans="1:6" x14ac:dyDescent="0.3">
      <c r="A2" s="11" t="s">
        <v>110</v>
      </c>
      <c r="B2" s="21">
        <f>COUNTA(ChurnData[churn])</f>
        <v>4250</v>
      </c>
      <c r="D2" s="14" t="s">
        <v>116</v>
      </c>
      <c r="E2" s="14" t="s">
        <v>117</v>
      </c>
      <c r="F2" s="14" t="s">
        <v>118</v>
      </c>
    </row>
    <row r="3" spans="1:6" x14ac:dyDescent="0.3">
      <c r="A3" s="11" t="s">
        <v>111</v>
      </c>
      <c r="B3" s="21">
        <f>COUNTIF(ChurnData[churn],"yes")</f>
        <v>598</v>
      </c>
      <c r="D3" s="15" t="s">
        <v>111</v>
      </c>
      <c r="E3" s="18">
        <f>AVERAGEIF(ChurnData[churn],"yes",ChurnData[account_length])</f>
        <v>102.13712374581939</v>
      </c>
      <c r="F3" s="24" t="s">
        <v>119</v>
      </c>
    </row>
    <row r="4" spans="1:6" x14ac:dyDescent="0.3">
      <c r="A4" s="11" t="s">
        <v>112</v>
      </c>
      <c r="B4" s="21">
        <f>COUNTIF(ChurnData[churn],"no")</f>
        <v>3652</v>
      </c>
      <c r="D4" s="15" t="s">
        <v>112</v>
      </c>
      <c r="E4" s="18">
        <f>AVERAGEIF(ChurnData[churn],"no",ChurnData[account_length])</f>
        <v>99.924972617743705</v>
      </c>
      <c r="F4" s="15"/>
    </row>
    <row r="5" spans="1:6" x14ac:dyDescent="0.3">
      <c r="A5" s="11" t="s">
        <v>113</v>
      </c>
      <c r="B5" s="35">
        <f>COUNTIF(ChurnData[churn],"yes")/COUNTA(ChurnData[churn])</f>
        <v>0.14070588235294118</v>
      </c>
    </row>
    <row r="6" spans="1:6" x14ac:dyDescent="0.3">
      <c r="A6" s="11" t="s">
        <v>114</v>
      </c>
      <c r="B6" s="35">
        <f>COUNTIF(ChurnData[churn],"no")/COUNTA(ChurnData[churn])</f>
        <v>0.85929411764705887</v>
      </c>
    </row>
    <row r="8" spans="1:6" ht="28.8" x14ac:dyDescent="0.3">
      <c r="A8" s="19" t="s">
        <v>120</v>
      </c>
      <c r="B8" s="19" t="s">
        <v>121</v>
      </c>
      <c r="C8" s="14" t="s">
        <v>118</v>
      </c>
    </row>
    <row r="9" spans="1:6" ht="28.8" x14ac:dyDescent="0.3">
      <c r="A9" s="15" t="s">
        <v>116</v>
      </c>
      <c r="B9" s="15" t="s">
        <v>121</v>
      </c>
      <c r="C9" s="24" t="s">
        <v>122</v>
      </c>
    </row>
    <row r="10" spans="1:6" x14ac:dyDescent="0.3">
      <c r="A10" s="15" t="s">
        <v>111</v>
      </c>
      <c r="B10" s="18">
        <f>AVERAGEIF(ChurnData[churn],"yes",ChurnData[number_customer_service_calls])</f>
        <v>2.2759197324414715</v>
      </c>
      <c r="C10" s="15"/>
    </row>
    <row r="11" spans="1:6" x14ac:dyDescent="0.3">
      <c r="A11" s="15" t="s">
        <v>112</v>
      </c>
      <c r="B11" s="18">
        <f>AVERAGEIF(ChurnData[churn],"no",ChurnData[number_customer_service_calls])</f>
        <v>1.4416757940854326</v>
      </c>
      <c r="C11" s="15"/>
    </row>
    <row r="13" spans="1:6" ht="10.8" customHeight="1" x14ac:dyDescent="0.3"/>
    <row r="14" spans="1:6" ht="28.8" x14ac:dyDescent="0.3">
      <c r="A14" s="6" t="s">
        <v>123</v>
      </c>
    </row>
    <row r="15" spans="1:6" x14ac:dyDescent="0.3">
      <c r="A15" s="14" t="s">
        <v>124</v>
      </c>
      <c r="B15" s="14" t="s">
        <v>113</v>
      </c>
      <c r="C15" s="14" t="s">
        <v>118</v>
      </c>
    </row>
    <row r="16" spans="1:6" ht="28.8" x14ac:dyDescent="0.3">
      <c r="A16" s="15" t="s">
        <v>125</v>
      </c>
      <c r="B16" s="16">
        <f>COUNTIFS(ChurnData[international_plan],"yes",ChurnData[churn],"yes")/COUNTIF(ChurnData[international_plan],"yes")</f>
        <v>0.42171717171717171</v>
      </c>
      <c r="C16" s="24" t="s">
        <v>129</v>
      </c>
    </row>
    <row r="17" spans="1:3" x14ac:dyDescent="0.3">
      <c r="A17" s="15" t="s">
        <v>126</v>
      </c>
      <c r="B17" s="16">
        <f>COUNTIFS(ChurnData[international_plan],"no",ChurnData[churn],"yes")/COUNTIF(ChurnData[international_plan],"no")</f>
        <v>0.11183186299948106</v>
      </c>
      <c r="C17" s="15"/>
    </row>
    <row r="20" spans="1:3" x14ac:dyDescent="0.3">
      <c r="A20" s="3" t="s">
        <v>127</v>
      </c>
    </row>
    <row r="21" spans="1:3" x14ac:dyDescent="0.3">
      <c r="A21" s="14" t="s">
        <v>124</v>
      </c>
      <c r="B21" s="14" t="s">
        <v>113</v>
      </c>
      <c r="C21" s="14" t="s">
        <v>118</v>
      </c>
    </row>
    <row r="22" spans="1:3" ht="30.6" customHeight="1" x14ac:dyDescent="0.3">
      <c r="A22" s="15" t="s">
        <v>125</v>
      </c>
      <c r="B22" s="16">
        <f>COUNTIFS(ChurnData[voice_mail_plan],"yes",ChurnData[churn],"yes")/COUNTIF(ChurnData[voice_mail_plan],"yes")</f>
        <v>7.3741007194244604E-2</v>
      </c>
      <c r="C22" s="24" t="s">
        <v>128</v>
      </c>
    </row>
    <row r="23" spans="1:3" x14ac:dyDescent="0.3">
      <c r="A23" s="15" t="s">
        <v>126</v>
      </c>
      <c r="B23" s="16">
        <f>COUNTIFS(ChurnData[voice_mail_plan],"no",ChurnData[churn],"yes")/COUNTIF(ChurnData[voice_mail_plan],"no")</f>
        <v>0.16443594646271512</v>
      </c>
      <c r="C23" s="15"/>
    </row>
    <row r="26" spans="1:3" x14ac:dyDescent="0.3">
      <c r="A26" s="3" t="s">
        <v>130</v>
      </c>
    </row>
    <row r="27" spans="1:3" x14ac:dyDescent="0.3">
      <c r="A27" s="14" t="s">
        <v>116</v>
      </c>
      <c r="B27" s="14" t="s">
        <v>131</v>
      </c>
      <c r="C27" s="14" t="s">
        <v>118</v>
      </c>
    </row>
    <row r="28" spans="1:3" ht="28.8" x14ac:dyDescent="0.3">
      <c r="A28" s="15" t="s">
        <v>111</v>
      </c>
      <c r="B28" s="32">
        <f>AVERAGEIF(ChurnData[churn],"yes",ChurnData[total_day_minutes])</f>
        <v>208.99013377926423</v>
      </c>
      <c r="C28" s="24" t="s">
        <v>132</v>
      </c>
    </row>
    <row r="29" spans="1:3" x14ac:dyDescent="0.3">
      <c r="A29" s="15" t="s">
        <v>112</v>
      </c>
      <c r="B29" s="32">
        <f>AVERAGEIF(ChurnData[churn],"no",ChurnData[total_day_minutes])</f>
        <v>175.5550930996709</v>
      </c>
      <c r="C29" s="15"/>
    </row>
    <row r="32" spans="1:3" x14ac:dyDescent="0.3">
      <c r="A32" s="3" t="s">
        <v>133</v>
      </c>
    </row>
    <row r="33" spans="1:3" x14ac:dyDescent="0.3">
      <c r="A33" s="14" t="s">
        <v>116</v>
      </c>
      <c r="B33" s="14" t="s">
        <v>134</v>
      </c>
      <c r="C33" s="14" t="s">
        <v>118</v>
      </c>
    </row>
    <row r="34" spans="1:3" ht="28.8" x14ac:dyDescent="0.3">
      <c r="A34" s="15" t="s">
        <v>111</v>
      </c>
      <c r="B34" s="18">
        <f>AVERAGEIF(ChurnData[churn],"yes",ChurnData[total_day_charge])</f>
        <v>35.528678929765867</v>
      </c>
      <c r="C34" s="24" t="s">
        <v>135</v>
      </c>
    </row>
    <row r="35" spans="1:3" x14ac:dyDescent="0.3">
      <c r="A35" s="15" t="s">
        <v>112</v>
      </c>
      <c r="B35" s="18">
        <f>AVERAGEIF(ChurnData[churn],"no",ChurnData[total_day_charge])</f>
        <v>29.844947973713168</v>
      </c>
      <c r="C35" s="15"/>
    </row>
    <row r="38" spans="1:3" x14ac:dyDescent="0.3">
      <c r="A38" s="3" t="s">
        <v>136</v>
      </c>
    </row>
    <row r="39" spans="1:3" x14ac:dyDescent="0.3">
      <c r="A39" s="14" t="s">
        <v>116</v>
      </c>
      <c r="B39" s="14" t="s">
        <v>137</v>
      </c>
      <c r="C39" s="14" t="s">
        <v>118</v>
      </c>
    </row>
    <row r="40" spans="1:3" ht="28.8" x14ac:dyDescent="0.3">
      <c r="A40" s="15" t="s">
        <v>111</v>
      </c>
      <c r="B40" s="18">
        <f>AVERAGEIF(ChurnData[churn],"yes",ChurnData[total_eve_charge])</f>
        <v>17.847207357859528</v>
      </c>
      <c r="C40" s="24" t="s">
        <v>138</v>
      </c>
    </row>
    <row r="41" spans="1:3" x14ac:dyDescent="0.3">
      <c r="A41" s="15" t="s">
        <v>112</v>
      </c>
      <c r="B41" s="18">
        <f>AVERAGEIF(ChurnData[churn],"no",ChurnData[total_eve_charge])</f>
        <v>16.878743154435913</v>
      </c>
      <c r="C41" s="15"/>
    </row>
    <row r="44" spans="1:3" x14ac:dyDescent="0.3">
      <c r="A44" s="3" t="s">
        <v>139</v>
      </c>
    </row>
    <row r="45" spans="1:3" x14ac:dyDescent="0.3">
      <c r="A45" s="14" t="s">
        <v>116</v>
      </c>
      <c r="B45" s="14" t="s">
        <v>140</v>
      </c>
      <c r="C45" s="14" t="s">
        <v>118</v>
      </c>
    </row>
    <row r="46" spans="1:3" ht="28.8" x14ac:dyDescent="0.3">
      <c r="A46" s="15" t="s">
        <v>111</v>
      </c>
      <c r="B46" s="18">
        <f>AVERAGEIF(ChurnData[churn],"yes",ChurnData[total_night_charge])</f>
        <v>9.2850334448160474</v>
      </c>
      <c r="C46" s="24" t="s">
        <v>141</v>
      </c>
    </row>
    <row r="47" spans="1:3" x14ac:dyDescent="0.3">
      <c r="A47" s="15" t="s">
        <v>112</v>
      </c>
      <c r="B47" s="18">
        <f>AVERAGEIF(ChurnData[churn],"no",ChurnData[total_night_charge])</f>
        <v>8.9811308871851168</v>
      </c>
      <c r="C47" s="15"/>
    </row>
    <row r="50" spans="1:4" ht="28.8" x14ac:dyDescent="0.3">
      <c r="A50" s="6" t="s">
        <v>142</v>
      </c>
    </row>
    <row r="51" spans="1:4" x14ac:dyDescent="0.3">
      <c r="A51" s="14" t="s">
        <v>116</v>
      </c>
      <c r="B51" s="14" t="s">
        <v>143</v>
      </c>
      <c r="C51" s="14" t="s">
        <v>144</v>
      </c>
      <c r="D51" s="14" t="s">
        <v>118</v>
      </c>
    </row>
    <row r="52" spans="1:4" ht="28.8" x14ac:dyDescent="0.3">
      <c r="A52" s="15" t="s">
        <v>111</v>
      </c>
      <c r="B52" s="18">
        <f>AVERAGEIF(ChurnData[churn],"yes",ChurnData[total_intl_minutes])</f>
        <v>10.632441471571916</v>
      </c>
      <c r="C52" s="18">
        <f>AVERAGEIF(ChurnData[churn],"yes",ChurnData[total_intl_charge])</f>
        <v>2.8712541806020084</v>
      </c>
      <c r="D52" s="24" t="s">
        <v>145</v>
      </c>
    </row>
    <row r="53" spans="1:4" x14ac:dyDescent="0.3">
      <c r="A53" s="15" t="s">
        <v>112</v>
      </c>
      <c r="B53" s="18">
        <f>AVERAGEIF(ChurnData[churn],"no",ChurnData[total_intl_minutes])</f>
        <v>10.194441401971536</v>
      </c>
      <c r="C53" s="18">
        <f>AVERAGEIF(ChurnData[churn],"no",ChurnData[total_intl_charge])</f>
        <v>2.7530175246440205</v>
      </c>
      <c r="D53" s="15"/>
    </row>
    <row r="56" spans="1:4" x14ac:dyDescent="0.3">
      <c r="A56" s="3" t="s">
        <v>146</v>
      </c>
    </row>
    <row r="57" spans="1:4" x14ac:dyDescent="0.3">
      <c r="A57" s="14" t="s">
        <v>147</v>
      </c>
      <c r="B57" s="34">
        <f>CORREL(ChurnData[total_day_calls],ChurnData[Churn_Flag])</f>
        <v>1.1640422238906746E-2</v>
      </c>
      <c r="C57" s="15" t="s">
        <v>149</v>
      </c>
    </row>
    <row r="60" spans="1:4" x14ac:dyDescent="0.3">
      <c r="A60" s="3" t="s">
        <v>150</v>
      </c>
    </row>
    <row r="61" spans="1:4" x14ac:dyDescent="0.3">
      <c r="A61" s="9" t="s">
        <v>109</v>
      </c>
      <c r="B61" s="9" t="s">
        <v>111</v>
      </c>
      <c r="C61" s="9" t="s">
        <v>112</v>
      </c>
    </row>
    <row r="62" spans="1:4" x14ac:dyDescent="0.3">
      <c r="A62" s="11" t="s">
        <v>151</v>
      </c>
      <c r="B62" s="18">
        <f>AVERAGEIF(ChurnData[churn],"yes",ChurnData[total_day_minutes])</f>
        <v>208.99013377926423</v>
      </c>
      <c r="C62" s="18">
        <f>AVERAGEIF(ChurnData[churn],"no",ChurnData[total_day_minutes])</f>
        <v>175.5550930996709</v>
      </c>
    </row>
    <row r="63" spans="1:4" x14ac:dyDescent="0.3">
      <c r="A63" s="11" t="s">
        <v>152</v>
      </c>
      <c r="B63" s="18">
        <f>AVERAGEIF(ChurnData[churn],"yes",ChurnData[total_day_charge])</f>
        <v>35.528678929765867</v>
      </c>
      <c r="C63" s="18">
        <f>AVERAGEIF(ChurnData[churn],"no",ChurnData[total_day_charge])</f>
        <v>29.844947973713168</v>
      </c>
    </row>
    <row r="64" spans="1:4" x14ac:dyDescent="0.3">
      <c r="A64" s="11" t="s">
        <v>153</v>
      </c>
      <c r="B64" s="18">
        <f>AVERAGEIF(ChurnData[churn],"yes",ChurnData[total_eve_charge])</f>
        <v>17.847207357859528</v>
      </c>
      <c r="C64" s="18">
        <f>AVERAGEIF(ChurnData[churn],"no",ChurnData[total_eve_charge])</f>
        <v>16.878743154435913</v>
      </c>
    </row>
    <row r="65" spans="1:3" x14ac:dyDescent="0.3">
      <c r="A65" s="11" t="s">
        <v>154</v>
      </c>
      <c r="B65" s="18">
        <f>AVERAGEIF(ChurnData[churn],"yes",ChurnData[total_night_charge])</f>
        <v>9.2850334448160474</v>
      </c>
      <c r="C65" s="18">
        <f>AVERAGEIF(ChurnData[churn],"no",ChurnData[total_night_charge])</f>
        <v>8.9811308871851168</v>
      </c>
    </row>
    <row r="66" spans="1:3" x14ac:dyDescent="0.3">
      <c r="A66" s="11" t="s">
        <v>155</v>
      </c>
      <c r="B66" s="18">
        <f>AVERAGEIF(ChurnData[churn],"yes",ChurnData[total_intl_minutes])</f>
        <v>10.632441471571916</v>
      </c>
      <c r="C66" s="18">
        <f>AVERAGEIF(ChurnData[churn],"no",ChurnData[total_intl_minutes])</f>
        <v>10.194441401971536</v>
      </c>
    </row>
    <row r="67" spans="1:3" x14ac:dyDescent="0.3">
      <c r="A67" s="11" t="s">
        <v>156</v>
      </c>
      <c r="B67" s="18">
        <f>AVERAGEIF(ChurnData[churn],"yes",ChurnData[total_intl_charge])</f>
        <v>2.8712541806020084</v>
      </c>
      <c r="C67" s="18">
        <f>AVERAGEIF(ChurnData[churn],"no",ChurnData[total_intl_charge])</f>
        <v>2.7530175246440205</v>
      </c>
    </row>
    <row r="68" spans="1:3" x14ac:dyDescent="0.3">
      <c r="B68" s="5"/>
      <c r="C68" s="5"/>
    </row>
    <row r="69" spans="1:3" x14ac:dyDescent="0.3">
      <c r="B69" s="5"/>
      <c r="C6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86C9-5144-4EE6-9BCC-793F23B4C1EE}">
  <dimension ref="A1:D87"/>
  <sheetViews>
    <sheetView workbookViewId="0">
      <selection activeCell="A2" sqref="A2:B7"/>
    </sheetView>
  </sheetViews>
  <sheetFormatPr defaultRowHeight="14.4" x14ac:dyDescent="0.3"/>
  <cols>
    <col min="1" max="1" width="28.21875" bestFit="1" customWidth="1"/>
    <col min="2" max="2" width="30.77734375" bestFit="1" customWidth="1"/>
    <col min="3" max="3" width="12.5546875" bestFit="1" customWidth="1"/>
    <col min="4" max="4" width="13.33203125" bestFit="1" customWidth="1"/>
  </cols>
  <sheetData>
    <row r="1" spans="1:2" x14ac:dyDescent="0.3">
      <c r="A1" s="3" t="s">
        <v>157</v>
      </c>
    </row>
    <row r="2" spans="1:2" x14ac:dyDescent="0.3">
      <c r="A2" s="22" t="s">
        <v>158</v>
      </c>
      <c r="B2" s="22" t="s">
        <v>113</v>
      </c>
    </row>
    <row r="3" spans="1:2" x14ac:dyDescent="0.3">
      <c r="A3" s="15" t="s">
        <v>25</v>
      </c>
      <c r="B3" s="16">
        <f>COUNTIFS(ChurnData[area_code],A3,ChurnData[churn],"yes")/COUNTIF(ChurnData[area_code],A3)</f>
        <v>0.13996316758747698</v>
      </c>
    </row>
    <row r="4" spans="1:2" x14ac:dyDescent="0.3">
      <c r="A4" s="15" t="s">
        <v>21</v>
      </c>
      <c r="B4" s="16">
        <f>COUNTIFS(ChurnData[area_code],A4,ChurnData[churn],"yes")/COUNTIF(ChurnData[area_code],A4)</f>
        <v>0.13614800759013282</v>
      </c>
    </row>
    <row r="5" spans="1:2" x14ac:dyDescent="0.3">
      <c r="A5" s="15" t="s">
        <v>28</v>
      </c>
      <c r="B5" s="16">
        <f>COUNTIFS(ChurnData[area_code],A5,ChurnData[churn],"yes")/COUNTIF(ChurnData[area_code],A5)</f>
        <v>0.15056818181818182</v>
      </c>
    </row>
    <row r="6" spans="1:2" x14ac:dyDescent="0.3">
      <c r="A6" s="15"/>
      <c r="B6" s="15"/>
    </row>
    <row r="7" spans="1:2" ht="28.8" x14ac:dyDescent="0.3">
      <c r="A7" s="22" t="s">
        <v>159</v>
      </c>
      <c r="B7" s="24" t="s">
        <v>160</v>
      </c>
    </row>
    <row r="10" spans="1:2" ht="28.8" x14ac:dyDescent="0.3">
      <c r="A10" s="6" t="s">
        <v>161</v>
      </c>
    </row>
    <row r="11" spans="1:2" x14ac:dyDescent="0.3">
      <c r="A11" s="22" t="s">
        <v>162</v>
      </c>
      <c r="B11" s="22" t="s">
        <v>113</v>
      </c>
    </row>
    <row r="12" spans="1:2" x14ac:dyDescent="0.3">
      <c r="A12" s="15" t="s">
        <v>163</v>
      </c>
      <c r="B12" s="16">
        <f>COUNTIFS(ChurnData[number_customer_service_calls],"&lt;="&amp;3,ChurnData[churn],"yes")/COUNTIF(ChurnData[number_customer_service_calls],"&lt;="&amp;3)</f>
        <v>0.10932311621966795</v>
      </c>
    </row>
    <row r="13" spans="1:2" x14ac:dyDescent="0.3">
      <c r="A13" s="15" t="s">
        <v>164</v>
      </c>
      <c r="B13" s="16">
        <f>COUNTIFS(ChurnData[number_customer_service_calls],"&gt;"&amp;3,ChurnData[churn],"yes")/COUNTIF(ChurnData[number_customer_service_calls],"&gt;"&amp;3)</f>
        <v>0.5074626865671642</v>
      </c>
    </row>
    <row r="14" spans="1:2" x14ac:dyDescent="0.3">
      <c r="A14" s="15"/>
      <c r="B14" s="15"/>
    </row>
    <row r="15" spans="1:2" ht="31.2" customHeight="1" x14ac:dyDescent="0.3">
      <c r="A15" s="22" t="s">
        <v>159</v>
      </c>
      <c r="B15" s="24" t="s">
        <v>165</v>
      </c>
    </row>
    <row r="18" spans="1:4" x14ac:dyDescent="0.3">
      <c r="A18" s="3" t="s">
        <v>115</v>
      </c>
    </row>
    <row r="19" spans="1:4" x14ac:dyDescent="0.3">
      <c r="A19" s="22" t="s">
        <v>166</v>
      </c>
      <c r="B19" s="22" t="s">
        <v>113</v>
      </c>
      <c r="D19">
        <f>_xlfn.QUARTILE.INC(ChurnData[account_length],1)</f>
        <v>73</v>
      </c>
    </row>
    <row r="20" spans="1:4" x14ac:dyDescent="0.3">
      <c r="A20" s="15" t="s">
        <v>167</v>
      </c>
      <c r="B20" s="16">
        <f>COUNTIFS(ChurnData[account_length],"&lt;="&amp;D19,ChurnData[churn],"yes")/COUNTIF(ChurnData[account_length],"&lt;="&amp;D19)</f>
        <v>0.12777777777777777</v>
      </c>
      <c r="D20">
        <f>_xlfn.QUARTILE.INC(ChurnData[account_length],2)</f>
        <v>100</v>
      </c>
    </row>
    <row r="21" spans="1:4" x14ac:dyDescent="0.3">
      <c r="A21" s="15" t="s">
        <v>168</v>
      </c>
      <c r="B21" s="16">
        <f>COUNTIFS(ChurnData[account_length],"&gt;"&amp;D19,ChurnData[account_length],"&lt;="&amp;D20,ChurnData[churn],"yes")/COUNTIFS(ChurnData[account_length],"&gt;"&amp;D19,ChurnData[account_length],"&lt;="&amp;D20)</f>
        <v>0.14325068870523416</v>
      </c>
      <c r="D21">
        <f>_xlfn.QUARTILE.INC(ChurnData[account_length],3)</f>
        <v>127</v>
      </c>
    </row>
    <row r="22" spans="1:4" x14ac:dyDescent="0.3">
      <c r="A22" s="15" t="s">
        <v>169</v>
      </c>
      <c r="B22" s="16">
        <f>COUNTIFS(ChurnData[account_length],"&gt;"&amp;D20,ChurnData[account_length],"&lt;="&amp;D21,ChurnData[churn],"yes")/COUNTIFS(ChurnData[account_length],"&gt;"&amp;D20,ChurnData[account_length],"&lt;="&amp;D21)</f>
        <v>0.15854823304680038</v>
      </c>
    </row>
    <row r="23" spans="1:4" x14ac:dyDescent="0.3">
      <c r="A23" s="15" t="s">
        <v>170</v>
      </c>
      <c r="B23" s="16">
        <f>COUNTIFS(ChurnData[account_length],"&gt;"&amp;D21,ChurnData[churn],"yes")/COUNTIF(ChurnData[account_length],"&gt;"&amp;D21)</f>
        <v>0.13346228239845262</v>
      </c>
    </row>
    <row r="28" spans="1:4" ht="28.8" x14ac:dyDescent="0.3">
      <c r="A28" s="6" t="s">
        <v>171</v>
      </c>
    </row>
    <row r="29" spans="1:4" x14ac:dyDescent="0.3">
      <c r="A29" s="22" t="s">
        <v>172</v>
      </c>
      <c r="B29" s="22" t="s">
        <v>113</v>
      </c>
      <c r="D29" s="3" t="s">
        <v>175</v>
      </c>
    </row>
    <row r="30" spans="1:4" x14ac:dyDescent="0.3">
      <c r="A30" s="15" t="s">
        <v>173</v>
      </c>
      <c r="B30" s="23">
        <f>COUNTIFS(ChurnData[international_plan],"yes",ChurnData[total_intl_charge],"&lt;"&amp;$D$30,ChurnData[churn],"yes")/COUNTIFS(ChurnData[international_plan],"yes",ChurnData[total_intl_charge],"&lt;"&amp;$D$30)</f>
        <v>0.34031413612565448</v>
      </c>
      <c r="D30" cm="1">
        <f t="array" ref="D30">MEDIAN(_xlfn._xlws.FILTER(ChurnData[total_intl_charge],ChurnData[international_plan]="yes"))</f>
        <v>2.84</v>
      </c>
    </row>
    <row r="31" spans="1:4" x14ac:dyDescent="0.3">
      <c r="A31" s="15" t="s">
        <v>174</v>
      </c>
      <c r="B31" s="23">
        <f>COUNTIFS(ChurnData[international_plan],"yes",ChurnData[total_intl_charge],"&gt;="&amp;$D$30,ChurnData[churn],"yes")/COUNTIFS(ChurnData[international_plan],"yes",ChurnData[total_intl_charge],"&gt;="&amp;$D$30)</f>
        <v>0.4975609756097561</v>
      </c>
    </row>
    <row r="32" spans="1:4" x14ac:dyDescent="0.3">
      <c r="A32" s="15"/>
      <c r="B32" s="15"/>
    </row>
    <row r="33" spans="1:4" ht="28.8" x14ac:dyDescent="0.3">
      <c r="A33" s="22" t="s">
        <v>159</v>
      </c>
      <c r="B33" s="24" t="s">
        <v>176</v>
      </c>
    </row>
    <row r="36" spans="1:4" x14ac:dyDescent="0.3">
      <c r="A36" s="3" t="s">
        <v>177</v>
      </c>
    </row>
    <row r="37" spans="1:4" x14ac:dyDescent="0.3">
      <c r="A37" s="15" t="s">
        <v>178</v>
      </c>
      <c r="B37" s="15" t="s">
        <v>113</v>
      </c>
    </row>
    <row r="38" spans="1:4" x14ac:dyDescent="0.3">
      <c r="A38" s="33" t="s">
        <v>179</v>
      </c>
      <c r="B38" s="16">
        <f>COUNTIFS(ChurnData[total_eve_minutes],"&lt;="&amp;D38,ChurnData[churn],"yes")/COUNTIF(ChurnData[total_eve_minutes],"&lt;="&amp;D38)</f>
        <v>0.10442144873000941</v>
      </c>
      <c r="D38">
        <f>_xlfn.QUARTILE.INC(ChurnData[total_eve_minutes],1)</f>
        <v>165.92500000000001</v>
      </c>
    </row>
    <row r="39" spans="1:4" x14ac:dyDescent="0.3">
      <c r="A39" s="33" t="s">
        <v>180</v>
      </c>
      <c r="B39" s="16">
        <f>COUNTIFS(ChurnData[total_eve_minutes],"&gt;"&amp;D38,ChurnData[total_eve_minutes],"&lt;="&amp;D39,ChurnData[churn],"yes")/COUNTIFS(ChurnData[total_eve_minutes],"&gt;"&amp;D38,ChurnData[total_eve_minutes],"&lt;="&amp;D39)</f>
        <v>0.1325187969924812</v>
      </c>
      <c r="D39">
        <f>_xlfn.QUARTILE.INC(ChurnData[total_eve_minutes],2)</f>
        <v>200.7</v>
      </c>
    </row>
    <row r="40" spans="1:4" x14ac:dyDescent="0.3">
      <c r="A40" s="33" t="s">
        <v>181</v>
      </c>
      <c r="B40" s="16">
        <f>COUNTIFS(ChurnData[total_eve_minutes],"&gt;"&amp;D39,ChurnData[total_eve_minutes],"&lt;="&amp;D40,ChurnData[churn],"yes")/COUNTIFS(ChurnData[total_eve_minutes],"&gt;"&amp;D39,ChurnData[total_eve_minutes],"&lt;="&amp;D40)</f>
        <v>0.14716981132075471</v>
      </c>
      <c r="D40">
        <f>_xlfn.QUARTILE.INC(ChurnData[total_eve_minutes],3)</f>
        <v>233.77500000000001</v>
      </c>
    </row>
    <row r="41" spans="1:4" x14ac:dyDescent="0.3">
      <c r="A41" s="33" t="s">
        <v>182</v>
      </c>
      <c r="B41" s="16">
        <f>COUNTIFS(ChurnData[total_eve_minutes],"&gt;"&amp;D40,ChurnData[churn],"yes")/COUNTIF(ChurnData[total_eve_minutes],"&gt;"&amp;D40)</f>
        <v>0.17873941674506114</v>
      </c>
    </row>
    <row r="42" spans="1:4" x14ac:dyDescent="0.3">
      <c r="A42" s="15"/>
      <c r="B42" s="15"/>
    </row>
    <row r="43" spans="1:4" ht="28.8" x14ac:dyDescent="0.3">
      <c r="A43" s="22" t="s">
        <v>159</v>
      </c>
      <c r="B43" s="24" t="s">
        <v>183</v>
      </c>
    </row>
    <row r="46" spans="1:4" x14ac:dyDescent="0.3">
      <c r="A46" s="3" t="s">
        <v>184</v>
      </c>
    </row>
    <row r="47" spans="1:4" x14ac:dyDescent="0.3">
      <c r="A47" s="22" t="s">
        <v>185</v>
      </c>
      <c r="B47" s="22" t="s">
        <v>113</v>
      </c>
      <c r="D47" cm="1">
        <f t="array" ref="D47">_xlfn.QUARTILE.INC(_xlfn._xlws.FILTER(ChurnData[number_vmail_messages],ChurnData[voice_mail_plan]="yes"),1)</f>
        <v>24</v>
      </c>
    </row>
    <row r="48" spans="1:4" x14ac:dyDescent="0.3">
      <c r="A48" s="15" t="s">
        <v>179</v>
      </c>
      <c r="B48" s="16">
        <f>COUNTIFS(ChurnData[voice_mail_plan],"yes",ChurnData[number_vmail_messages],"&lt;="&amp;D47,ChurnData[churn],"yes")/COUNTIFS(ChurnData[voice_mail_plan],"yes",ChurnData[number_vmail_messages],"&lt;="&amp;D47)</f>
        <v>3.8095238095238099E-2</v>
      </c>
      <c r="D48" cm="1">
        <f t="array" ref="D48">_xlfn.QUARTILE.INC(_xlfn._xlws.FILTER(ChurnData[number_vmail_messages],ChurnData[voice_mail_plan]="yes"),2)</f>
        <v>29</v>
      </c>
    </row>
    <row r="49" spans="1:4" x14ac:dyDescent="0.3">
      <c r="A49" s="15" t="s">
        <v>180</v>
      </c>
      <c r="B49" s="16">
        <f>COUNTIFS(ChurnData[voice_mail_plan],"yes",ChurnData[number_vmail_messages],"&gt;"&amp;D47,ChurnData[number_vmail_messages],"&lt;="&amp;D48,ChurnData[churn],"yes")/COUNTIFS(ChurnData[voice_mail_plan],"yes",ChurnData[number_vmail_messages],"&gt;"&amp;D47,ChurnData[number_vmail_messages],"&lt;="&amp;D48)</f>
        <v>9.3283582089552244E-2</v>
      </c>
      <c r="D49" cm="1">
        <f t="array" ref="D49">_xlfn.QUARTILE.INC(_xlfn._xlws.FILTER(ChurnData[number_vmail_messages],ChurnData[voice_mail_plan]="yes"),3)</f>
        <v>34</v>
      </c>
    </row>
    <row r="50" spans="1:4" x14ac:dyDescent="0.3">
      <c r="A50" s="15" t="s">
        <v>181</v>
      </c>
      <c r="B50" s="16">
        <f>COUNTIFS(ChurnData[voice_mail_plan],"yes",ChurnData[number_vmail_messages],"&gt;"&amp;D48,ChurnData[number_vmail_messages],"&lt;="&amp;D49,ChurnData[churn],"yes")/COUNTIFS(ChurnData[voice_mail_plan],"yes",ChurnData[number_vmail_messages],"&gt;"&amp;D48,ChurnData[number_vmail_messages],"&lt;="&amp;D49)</f>
        <v>7.874015748031496E-2</v>
      </c>
    </row>
    <row r="51" spans="1:4" x14ac:dyDescent="0.3">
      <c r="A51" s="15" t="s">
        <v>182</v>
      </c>
      <c r="B51" s="16">
        <f>COUNTIFS(ChurnData[voice_mail_plan],"yes",ChurnData[number_vmail_messages],"&gt;"&amp;D49,ChurnData[churn],"yes")/COUNTIFS(ChurnData[voice_mail_plan],"yes",ChurnData[number_vmail_messages],"&gt;"&amp;D49)</f>
        <v>9.0909090909090912E-2</v>
      </c>
    </row>
    <row r="52" spans="1:4" x14ac:dyDescent="0.3">
      <c r="A52" s="15"/>
      <c r="B52" s="15"/>
    </row>
    <row r="53" spans="1:4" ht="28.2" customHeight="1" x14ac:dyDescent="0.3">
      <c r="A53" s="22" t="s">
        <v>159</v>
      </c>
      <c r="B53" s="24" t="s">
        <v>186</v>
      </c>
    </row>
    <row r="56" spans="1:4" x14ac:dyDescent="0.3">
      <c r="A56" s="3" t="s">
        <v>187</v>
      </c>
    </row>
    <row r="57" spans="1:4" x14ac:dyDescent="0.3">
      <c r="A57" s="22" t="s">
        <v>109</v>
      </c>
      <c r="B57" s="22" t="s">
        <v>111</v>
      </c>
      <c r="C57" s="22" t="s">
        <v>112</v>
      </c>
    </row>
    <row r="58" spans="1:4" x14ac:dyDescent="0.3">
      <c r="A58" s="15" t="s">
        <v>131</v>
      </c>
      <c r="B58" s="32">
        <f>AVERAGEIF(ChurnData[churn],"yes",ChurnData[total_day_minutes])</f>
        <v>208.99013377926423</v>
      </c>
      <c r="C58" s="32">
        <f>AVERAGEIF(ChurnData[churn],"no",ChurnData[total_day_minutes])</f>
        <v>175.5550930996709</v>
      </c>
    </row>
    <row r="59" spans="1:4" x14ac:dyDescent="0.3">
      <c r="A59" s="15" t="s">
        <v>134</v>
      </c>
      <c r="B59" s="32">
        <f>AVERAGEIF(ChurnData[churn],"yes",ChurnData[total_day_charge])</f>
        <v>35.528678929765867</v>
      </c>
      <c r="C59" s="32">
        <f>AVERAGEIF(ChurnData[churn],"no",ChurnData[total_day_charge])</f>
        <v>29.844947973713168</v>
      </c>
    </row>
    <row r="60" spans="1:4" x14ac:dyDescent="0.3">
      <c r="A60" s="15"/>
      <c r="B60" s="15"/>
      <c r="C60" s="15"/>
    </row>
    <row r="61" spans="1:4" x14ac:dyDescent="0.3">
      <c r="A61" s="15" t="s">
        <v>188</v>
      </c>
      <c r="B61" s="16">
        <f>CORREL(ChurnData[total_day_minutes],ChurnData[Churn_Flag])</f>
        <v>0.21527160111755808</v>
      </c>
      <c r="C61" s="15"/>
    </row>
    <row r="62" spans="1:4" x14ac:dyDescent="0.3">
      <c r="A62" s="15" t="s">
        <v>189</v>
      </c>
      <c r="B62" s="16">
        <f>CORREL(ChurnData[total_day_charge],ChurnData[Churn_Flag])</f>
        <v>0.21526321750200519</v>
      </c>
      <c r="C62" s="15"/>
    </row>
    <row r="63" spans="1:4" x14ac:dyDescent="0.3">
      <c r="A63" s="15"/>
      <c r="B63" s="15"/>
      <c r="C63" s="15"/>
    </row>
    <row r="64" spans="1:4" ht="28.8" x14ac:dyDescent="0.3">
      <c r="A64" s="22" t="s">
        <v>159</v>
      </c>
      <c r="B64" s="24" t="s">
        <v>190</v>
      </c>
      <c r="C64" s="15"/>
    </row>
    <row r="67" spans="1:3" x14ac:dyDescent="0.3">
      <c r="A67" s="3" t="s">
        <v>191</v>
      </c>
    </row>
    <row r="68" spans="1:3" x14ac:dyDescent="0.3">
      <c r="A68" s="22" t="s">
        <v>124</v>
      </c>
      <c r="B68" s="22" t="s">
        <v>192</v>
      </c>
      <c r="C68" s="22" t="s">
        <v>113</v>
      </c>
    </row>
    <row r="69" spans="1:3" x14ac:dyDescent="0.3">
      <c r="A69" s="15" t="s">
        <v>193</v>
      </c>
      <c r="B69" s="31">
        <f>AVERAGEIF(ChurnData[international_plan],"no",ChurnData[total_intl_calls])</f>
        <v>4.4208614426569799</v>
      </c>
      <c r="C69" s="16">
        <f>COUNTIFS(ChurnData[international_plan],"no",ChurnData[churn],"yes")/COUNTIF(ChurnData[international_plan],"no")</f>
        <v>0.11183186299948106</v>
      </c>
    </row>
    <row r="70" spans="1:3" x14ac:dyDescent="0.3">
      <c r="A70" s="15" t="s">
        <v>194</v>
      </c>
      <c r="B70" s="31">
        <f>AVERAGEIF(ChurnData[international_plan],"yes",ChurnData[total_intl_calls])</f>
        <v>4.4797979797979801</v>
      </c>
      <c r="C70" s="16">
        <f>COUNTIFS(ChurnData[international_plan],"yes",ChurnData[churn],"yes")/COUNTIF(ChurnData[international_plan],"yes")</f>
        <v>0.42171717171717171</v>
      </c>
    </row>
    <row r="71" spans="1:3" x14ac:dyDescent="0.3">
      <c r="A71" s="15"/>
      <c r="B71" s="15"/>
      <c r="C71" s="15"/>
    </row>
    <row r="72" spans="1:3" ht="29.4" customHeight="1" x14ac:dyDescent="0.3">
      <c r="A72" s="22" t="s">
        <v>159</v>
      </c>
      <c r="B72" s="24" t="s">
        <v>195</v>
      </c>
      <c r="C72" s="15"/>
    </row>
    <row r="75" spans="1:3" x14ac:dyDescent="0.3">
      <c r="A75" s="3" t="s">
        <v>196</v>
      </c>
    </row>
    <row r="76" spans="1:3" x14ac:dyDescent="0.3">
      <c r="A76" s="15" t="s">
        <v>197</v>
      </c>
      <c r="B76" s="15" t="s">
        <v>198</v>
      </c>
    </row>
    <row r="77" spans="1:3" ht="28.2" customHeight="1" x14ac:dyDescent="0.3">
      <c r="A77" s="15" t="s">
        <v>159</v>
      </c>
      <c r="B77" s="24" t="s">
        <v>199</v>
      </c>
    </row>
    <row r="80" spans="1:3" x14ac:dyDescent="0.3">
      <c r="A80" s="3" t="s">
        <v>200</v>
      </c>
    </row>
    <row r="81" spans="1:2" x14ac:dyDescent="0.3">
      <c r="A81" s="22" t="s">
        <v>109</v>
      </c>
      <c r="B81" s="22" t="s">
        <v>201</v>
      </c>
    </row>
    <row r="82" spans="1:2" x14ac:dyDescent="0.3">
      <c r="A82" s="15" t="s">
        <v>151</v>
      </c>
      <c r="B82" s="30">
        <f>AVERAGE(ChurnData[total_day_minutes])</f>
        <v>180.25959999999941</v>
      </c>
    </row>
    <row r="83" spans="1:2" x14ac:dyDescent="0.3">
      <c r="A83" s="15" t="s">
        <v>202</v>
      </c>
      <c r="B83" s="30">
        <f>AVERAGE(ChurnData[total_eve_minutes])</f>
        <v>200.17390588235307</v>
      </c>
    </row>
    <row r="84" spans="1:2" x14ac:dyDescent="0.3">
      <c r="A84" s="15" t="s">
        <v>203</v>
      </c>
      <c r="B84" s="30">
        <f>AVERAGE(ChurnData[total_night_minutes])</f>
        <v>200.52788235294165</v>
      </c>
    </row>
    <row r="85" spans="1:2" x14ac:dyDescent="0.3">
      <c r="A85" s="15" t="s">
        <v>204</v>
      </c>
      <c r="B85" s="30">
        <f>AVERAGE(ChurnData[total_intl_minutes])</f>
        <v>10.256070588235291</v>
      </c>
    </row>
    <row r="86" spans="1:2" x14ac:dyDescent="0.3">
      <c r="A86" s="15"/>
      <c r="B86" s="15"/>
    </row>
    <row r="87" spans="1:2" ht="30" customHeight="1" x14ac:dyDescent="0.3">
      <c r="A87" s="22" t="s">
        <v>159</v>
      </c>
      <c r="B87" s="2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49C4-AEA0-49CD-8EA1-970157A3BE40}">
  <dimension ref="A1:B47"/>
  <sheetViews>
    <sheetView workbookViewId="0">
      <selection activeCell="B12" sqref="B12"/>
    </sheetView>
  </sheetViews>
  <sheetFormatPr defaultRowHeight="14.4" x14ac:dyDescent="0.3"/>
  <cols>
    <col min="1" max="1" width="30" bestFit="1" customWidth="1"/>
    <col min="2" max="2" width="43.88671875" customWidth="1"/>
  </cols>
  <sheetData>
    <row r="1" spans="1:2" s="3" customFormat="1" x14ac:dyDescent="0.3">
      <c r="A1" s="7" t="s">
        <v>206</v>
      </c>
    </row>
    <row r="3" spans="1:2" x14ac:dyDescent="0.3">
      <c r="A3" s="22" t="s">
        <v>207</v>
      </c>
      <c r="B3" s="22" t="s">
        <v>208</v>
      </c>
    </row>
    <row r="4" spans="1:2" x14ac:dyDescent="0.3">
      <c r="A4" s="15" t="s">
        <v>209</v>
      </c>
      <c r="B4" s="23">
        <f>COUNTIF(ChurnData[churn],"yes")/COUNTA(ChurnData[churn])</f>
        <v>0.14070588235294118</v>
      </c>
    </row>
    <row r="5" spans="1:2" x14ac:dyDescent="0.3">
      <c r="A5" s="15" t="s">
        <v>194</v>
      </c>
      <c r="B5" s="23">
        <f>COUNTIFS(ChurnData[international_plan],"yes",ChurnData[churn],"yes")/COUNTIF(ChurnData[international_plan],"yes")</f>
        <v>0.42171717171717171</v>
      </c>
    </row>
    <row r="6" spans="1:2" x14ac:dyDescent="0.3">
      <c r="A6" s="15" t="s">
        <v>210</v>
      </c>
      <c r="B6" s="23">
        <f>COUNTIFS(ChurnData[number_customer_service_calls],"&gt;3",ChurnData[churn],"yes")/COUNTIF(ChurnData[number_customer_service_calls],"&gt;3")</f>
        <v>0.5074626865671642</v>
      </c>
    </row>
    <row r="7" spans="1:2" x14ac:dyDescent="0.3">
      <c r="A7" s="15" t="s">
        <v>211</v>
      </c>
      <c r="B7" s="23">
        <f>COUNTIFS(ChurnData[total_day_minutes],"&gt;"&amp;_xlfn.QUARTILE.INC(ChurnData[total_day_minutes],3),ChurnData[churn],"yes")/COUNTIF(ChurnData[total_day_minutes],"&gt;"&amp;_xlfn.QUARTILE.INC(ChurnData[total_day_minutes],3))</f>
        <v>0.28813559322033899</v>
      </c>
    </row>
    <row r="8" spans="1:2" ht="28.8" x14ac:dyDescent="0.3">
      <c r="A8" s="15" t="s">
        <v>212</v>
      </c>
      <c r="B8" s="24" t="s">
        <v>213</v>
      </c>
    </row>
    <row r="12" spans="1:2" x14ac:dyDescent="0.3">
      <c r="A12" s="14" t="s">
        <v>214</v>
      </c>
      <c r="B12" s="15"/>
    </row>
    <row r="13" spans="1:2" x14ac:dyDescent="0.3">
      <c r="A13" s="15" t="s">
        <v>215</v>
      </c>
      <c r="B13" s="15" t="s">
        <v>216</v>
      </c>
    </row>
    <row r="14" spans="1:2" ht="43.2" x14ac:dyDescent="0.3">
      <c r="A14" s="15" t="s">
        <v>212</v>
      </c>
      <c r="B14" s="24" t="s">
        <v>217</v>
      </c>
    </row>
    <row r="17" spans="1:2" x14ac:dyDescent="0.3">
      <c r="A17" s="3" t="s">
        <v>200</v>
      </c>
    </row>
    <row r="19" spans="1:2" x14ac:dyDescent="0.3">
      <c r="A19" s="22" t="s">
        <v>218</v>
      </c>
      <c r="B19" s="22" t="s">
        <v>219</v>
      </c>
    </row>
    <row r="20" spans="1:2" x14ac:dyDescent="0.3">
      <c r="A20" s="15" t="s">
        <v>151</v>
      </c>
      <c r="B20" s="25">
        <f>AVERAGE(ChurnData[total_day_minutes])</f>
        <v>180.25959999999941</v>
      </c>
    </row>
    <row r="21" spans="1:2" x14ac:dyDescent="0.3">
      <c r="A21" s="15" t="s">
        <v>202</v>
      </c>
      <c r="B21" s="25">
        <f>AVERAGE(ChurnData[total_eve_minutes])</f>
        <v>200.17390588235307</v>
      </c>
    </row>
    <row r="22" spans="1:2" x14ac:dyDescent="0.3">
      <c r="A22" s="15" t="s">
        <v>203</v>
      </c>
      <c r="B22" s="25">
        <f>AVERAGE(ChurnData[total_night_minutes])</f>
        <v>200.52788235294165</v>
      </c>
    </row>
    <row r="23" spans="1:2" x14ac:dyDescent="0.3">
      <c r="A23" s="15" t="s">
        <v>204</v>
      </c>
      <c r="B23" s="25">
        <f>AVERAGE(ChurnData[total_intl_minutes])</f>
        <v>10.256070588235291</v>
      </c>
    </row>
    <row r="24" spans="1:2" x14ac:dyDescent="0.3">
      <c r="A24" s="15"/>
      <c r="B24" s="15"/>
    </row>
    <row r="25" spans="1:2" x14ac:dyDescent="0.3">
      <c r="A25" s="15" t="s">
        <v>220</v>
      </c>
      <c r="B25" s="23">
        <f>COUNTIFS(ChurnData[total_day_minutes],"&gt;"&amp;_xlfn.QUARTILE.INC(ChurnData[total_day_minutes],3),ChurnData[churn],"yes")/COUNTIF(ChurnData[total_day_minutes],"&gt;"&amp;_xlfn.QUARTILE.INC(ChurnData[total_day_minutes],3))</f>
        <v>0.28813559322033899</v>
      </c>
    </row>
    <row r="26" spans="1:2" x14ac:dyDescent="0.3">
      <c r="A26" s="15"/>
      <c r="B26" s="15"/>
    </row>
    <row r="27" spans="1:2" ht="28.2" customHeight="1" x14ac:dyDescent="0.3">
      <c r="A27" s="26" t="s">
        <v>159</v>
      </c>
      <c r="B27" s="24" t="s">
        <v>221</v>
      </c>
    </row>
    <row r="30" spans="1:2" x14ac:dyDescent="0.3">
      <c r="A30" s="3" t="s">
        <v>222</v>
      </c>
    </row>
    <row r="32" spans="1:2" x14ac:dyDescent="0.3">
      <c r="A32" s="22" t="s">
        <v>223</v>
      </c>
      <c r="B32" s="22" t="s">
        <v>113</v>
      </c>
    </row>
    <row r="33" spans="1:2" s="8" customFormat="1" x14ac:dyDescent="0.3">
      <c r="A33" s="27" t="s">
        <v>224</v>
      </c>
      <c r="B33" s="28">
        <f>COUNTIFS(ChurnData[international_plan],"yes",ChurnData[total_intl_minutes],"&gt;"&amp;MEDIAN(ChurnData[total_intl_minutes]),ChurnData[churn],"yes")/COUNTIFS(ChurnData[international_plan],"yes",ChurnData[total_intl_minutes],"&gt;"&amp;MEDIAN(ChurnData[total_intl_minutes]))</f>
        <v>0.4881516587677725</v>
      </c>
    </row>
    <row r="34" spans="1:2" x14ac:dyDescent="0.3">
      <c r="A34" s="15" t="s">
        <v>225</v>
      </c>
      <c r="B34" s="16">
        <f>COUNTIFS(ChurnData[international_plan],"yes",ChurnData[total_intl_minutes],"&lt;="&amp;MEDIAN(ChurnData[total_intl_minutes]),ChurnData[churn],"yes")/COUNTIFS(ChurnData[international_plan],"yes",ChurnData[total_intl_minutes],"&lt;="&amp;MEDIAN(ChurnData[total_intl_minutes]))</f>
        <v>0.34594594594594597</v>
      </c>
    </row>
    <row r="35" spans="1:2" x14ac:dyDescent="0.3">
      <c r="A35" s="15"/>
      <c r="B35" s="15"/>
    </row>
    <row r="36" spans="1:2" ht="28.8" x14ac:dyDescent="0.3">
      <c r="A36" s="26" t="s">
        <v>159</v>
      </c>
      <c r="B36" s="24" t="s">
        <v>226</v>
      </c>
    </row>
    <row r="39" spans="1:2" x14ac:dyDescent="0.3">
      <c r="A39" s="3" t="s">
        <v>227</v>
      </c>
    </row>
    <row r="41" spans="1:2" x14ac:dyDescent="0.3">
      <c r="A41" s="22" t="s">
        <v>109</v>
      </c>
      <c r="B41" s="22" t="s">
        <v>228</v>
      </c>
    </row>
    <row r="42" spans="1:2" x14ac:dyDescent="0.3">
      <c r="A42" s="15" t="s">
        <v>106</v>
      </c>
      <c r="B42" s="15">
        <f>COUNTIF(ChurnData[churn],"yes")</f>
        <v>598</v>
      </c>
    </row>
    <row r="43" spans="1:2" ht="27.6" customHeight="1" x14ac:dyDescent="0.3">
      <c r="A43" s="24" t="s">
        <v>229</v>
      </c>
      <c r="B43" s="18">
        <f>AVERAGEIF(ChurnData[churn],"yes",ChurnData[total_day_charge])+AVERAGEIF(ChurnData[churn],"yes",ChurnData[total_eve_charge])+AVERAGEIF(ChurnData[churn],"yes",ChurnData[total_night_charge])+AVERAGEIF(ChurnData[churn],"yes",ChurnData[total_intl_charge])</f>
        <v>65.532173913043451</v>
      </c>
    </row>
    <row r="44" spans="1:2" x14ac:dyDescent="0.3">
      <c r="A44" s="15" t="s">
        <v>230</v>
      </c>
      <c r="B44" s="29">
        <f>B42*B43</f>
        <v>39188.239999999983</v>
      </c>
    </row>
    <row r="45" spans="1:2" x14ac:dyDescent="0.3">
      <c r="A45" s="15" t="s">
        <v>231</v>
      </c>
      <c r="B45" s="29">
        <f>B44*12</f>
        <v>470258.87999999977</v>
      </c>
    </row>
    <row r="46" spans="1:2" x14ac:dyDescent="0.3">
      <c r="A46" s="15"/>
      <c r="B46" s="15"/>
    </row>
    <row r="47" spans="1:2" ht="28.8" x14ac:dyDescent="0.3">
      <c r="A47" s="15" t="s">
        <v>232</v>
      </c>
      <c r="B47" s="24" t="s">
        <v>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D3CE-91A8-4BB4-A5E2-B215381B3677}">
  <dimension ref="A1:F26"/>
  <sheetViews>
    <sheetView tabSelected="1" zoomScale="63" workbookViewId="0">
      <selection activeCell="N15" sqref="N15"/>
    </sheetView>
  </sheetViews>
  <sheetFormatPr defaultRowHeight="14.4" x14ac:dyDescent="0.3"/>
  <cols>
    <col min="1" max="1" width="24.5546875" bestFit="1" customWidth="1"/>
    <col min="2" max="2" width="11.5546875" bestFit="1" customWidth="1"/>
    <col min="3" max="3" width="23" bestFit="1" customWidth="1"/>
    <col min="5" max="5" width="16" customWidth="1"/>
  </cols>
  <sheetData>
    <row r="1" spans="1:6" ht="15.6" customHeight="1" x14ac:dyDescent="0.3">
      <c r="A1" s="7" t="s">
        <v>234</v>
      </c>
    </row>
    <row r="3" spans="1:6" x14ac:dyDescent="0.3">
      <c r="A3" s="14" t="s">
        <v>110</v>
      </c>
      <c r="B3" s="15">
        <f>COUNTA(ChurnData[churn])</f>
        <v>4250</v>
      </c>
      <c r="C3" s="14" t="s">
        <v>106</v>
      </c>
      <c r="D3" s="15">
        <f>COUNTIF(ChurnData[churn],"yes")</f>
        <v>598</v>
      </c>
      <c r="E3" s="14" t="s">
        <v>113</v>
      </c>
      <c r="F3" s="16">
        <f>COUNTIF(ChurnData[churn],"yes")/COUNTA(ChurnData[churn])</f>
        <v>0.14070588235294118</v>
      </c>
    </row>
    <row r="4" spans="1:6" x14ac:dyDescent="0.3">
      <c r="A4" s="15"/>
      <c r="B4" s="15"/>
      <c r="C4" s="15"/>
      <c r="D4" s="15"/>
      <c r="E4" s="15"/>
      <c r="F4" s="15"/>
    </row>
    <row r="5" spans="1:6" ht="27.6" customHeight="1" x14ac:dyDescent="0.3">
      <c r="A5" s="14" t="s">
        <v>114</v>
      </c>
      <c r="B5" s="17">
        <f>1-F3</f>
        <v>0.85929411764705876</v>
      </c>
      <c r="C5" s="14" t="s">
        <v>235</v>
      </c>
      <c r="D5" s="18">
        <f>AVERAGEIF(ChurnData[churn],"yes",ChurnData[number_customer_service_calls])</f>
        <v>2.2759197324414715</v>
      </c>
      <c r="E5" s="19" t="s">
        <v>236</v>
      </c>
      <c r="F5" s="18">
        <f>AVERAGEIF(ChurnData[churn],"no",ChurnData[number_customer_service_calls])</f>
        <v>1.4416757940854326</v>
      </c>
    </row>
    <row r="7" spans="1:6" x14ac:dyDescent="0.3">
      <c r="A7" s="1"/>
      <c r="B7" s="4"/>
      <c r="D7" s="1"/>
      <c r="E7" s="4"/>
    </row>
    <row r="8" spans="1:6" ht="28.8" x14ac:dyDescent="0.3">
      <c r="A8" s="9" t="s">
        <v>237</v>
      </c>
      <c r="B8" s="10" t="s">
        <v>238</v>
      </c>
      <c r="D8" s="9" t="s">
        <v>239</v>
      </c>
      <c r="E8" s="10" t="s">
        <v>113</v>
      </c>
    </row>
    <row r="9" spans="1:6" x14ac:dyDescent="0.3">
      <c r="A9" s="9" t="s">
        <v>111</v>
      </c>
      <c r="B9" s="13">
        <f>COUNTIF(ChurnData[churn],"yes")</f>
        <v>598</v>
      </c>
      <c r="D9" s="9" t="s">
        <v>125</v>
      </c>
      <c r="E9" s="12">
        <f>COUNTIFS(ChurnData[international_plan],"yes",ChurnData[churn],"yes")/COUNTIF(ChurnData[international_plan],"yes")</f>
        <v>0.42171717171717171</v>
      </c>
    </row>
    <row r="10" spans="1:6" x14ac:dyDescent="0.3">
      <c r="A10" s="9" t="s">
        <v>112</v>
      </c>
      <c r="B10" s="13">
        <f>COUNTIF(ChurnData[churn],"no")</f>
        <v>3652</v>
      </c>
      <c r="D10" s="9" t="s">
        <v>126</v>
      </c>
      <c r="E10" s="12">
        <f>COUNTIFS(ChurnData[international_plan],"no",ChurnData[churn],"yes")/COUNTIF(ChurnData[international_plan],"no")</f>
        <v>0.11183186299948106</v>
      </c>
    </row>
    <row r="13" spans="1:6" x14ac:dyDescent="0.3">
      <c r="A13" s="1"/>
      <c r="B13" s="4"/>
    </row>
    <row r="14" spans="1:6" ht="28.8" x14ac:dyDescent="0.3">
      <c r="A14" s="9" t="s">
        <v>240</v>
      </c>
      <c r="B14" s="10" t="s">
        <v>113</v>
      </c>
      <c r="D14" s="20" t="s">
        <v>109</v>
      </c>
      <c r="E14" s="10" t="s">
        <v>111</v>
      </c>
      <c r="F14" s="10" t="s">
        <v>112</v>
      </c>
    </row>
    <row r="15" spans="1:6" ht="28.8" x14ac:dyDescent="0.3">
      <c r="A15" s="11" t="s">
        <v>241</v>
      </c>
      <c r="B15" s="12">
        <f>COUNTIFS(ChurnData[number_customer_service_calls],"&lt;=3",ChurnData[churn],"yes")/COUNTIF(ChurnData[number_customer_service_calls],"&lt;=3")</f>
        <v>0.10932311621966795</v>
      </c>
      <c r="D15" s="11" t="s">
        <v>151</v>
      </c>
      <c r="E15" s="21">
        <v>208.99</v>
      </c>
      <c r="F15" s="21">
        <v>175.56</v>
      </c>
    </row>
    <row r="16" spans="1:6" ht="28.8" x14ac:dyDescent="0.3">
      <c r="A16" s="11" t="s">
        <v>242</v>
      </c>
      <c r="B16" s="12">
        <f>COUNTIFS(ChurnData[number_customer_service_calls],"&gt;3",ChurnData[churn],"yes")/COUNTIF(ChurnData[number_customer_service_calls],"&gt;3")</f>
        <v>0.5074626865671642</v>
      </c>
      <c r="D16" s="11" t="s">
        <v>152</v>
      </c>
      <c r="E16" s="21">
        <v>35.53</v>
      </c>
      <c r="F16" s="21">
        <v>29.84</v>
      </c>
    </row>
    <row r="17" spans="1:6" ht="28.8" x14ac:dyDescent="0.3">
      <c r="D17" s="11" t="s">
        <v>153</v>
      </c>
      <c r="E17" s="21">
        <v>17.850000000000001</v>
      </c>
      <c r="F17" s="21">
        <v>16.88</v>
      </c>
    </row>
    <row r="21" spans="1:6" x14ac:dyDescent="0.3">
      <c r="A21" t="s">
        <v>243</v>
      </c>
    </row>
    <row r="22" spans="1:6" x14ac:dyDescent="0.3">
      <c r="A22" t="s">
        <v>244</v>
      </c>
    </row>
    <row r="23" spans="1:6" x14ac:dyDescent="0.3">
      <c r="A23" t="s">
        <v>245</v>
      </c>
    </row>
    <row r="24" spans="1:6" x14ac:dyDescent="0.3">
      <c r="A24" t="s">
        <v>246</v>
      </c>
    </row>
    <row r="25" spans="1:6" x14ac:dyDescent="0.3">
      <c r="A25" t="s">
        <v>247</v>
      </c>
    </row>
    <row r="26" spans="1:6" x14ac:dyDescent="0.3">
      <c r="A26" t="s">
        <v>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Data_Dictionary</vt:lpstr>
      <vt:lpstr>Data_Cleaning</vt:lpstr>
      <vt:lpstr>Basic_Analysis</vt:lpstr>
      <vt:lpstr>Medium Analysis</vt:lpstr>
      <vt:lpstr>Advanced_Analysis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prakash</dc:creator>
  <cp:lastModifiedBy>Sai prakash</cp:lastModifiedBy>
  <dcterms:created xsi:type="dcterms:W3CDTF">2026-09-11T16:23:13Z</dcterms:created>
  <dcterms:modified xsi:type="dcterms:W3CDTF">2026-09-12T02:04:01Z</dcterms:modified>
</cp:coreProperties>
</file>